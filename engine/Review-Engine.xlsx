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dex" sheetId="2" state="visible" r:id="rId4"/>
    <sheet name="Rubric" sheetId="3" state="visible" r:id="rId5"/>
    <sheet name="Checks" sheetId="4" state="visible" r:id="rId6"/>
    <sheet name="Findings" sheetId="5" state="visible" r:id="rId7"/>
    <sheet name="Impact ledger" sheetId="6" state="visible" r:id="rId8"/>
    <sheet name="Outreach" sheetId="7" state="visible" r:id="rId9"/>
    <sheet name="Messages" sheetId="8" state="visible" r:id="rId10"/>
  </sheets>
  <definedNames>
    <definedName function="false" hidden="true" localSheetId="3" name="_xlnm._FilterDatabase" vbProcedure="false">Checks!$A$1:$G$697</definedName>
    <definedName function="false" hidden="true" localSheetId="4" name="_xlnm._FilterDatabase" vbProcedure="false">Findings!$A$1:$M$163</definedName>
    <definedName function="false" hidden="true" localSheetId="1" name="_xlnm._FilterDatabase" vbProcedure="false">Index!$A$1:$AB$25</definedName>
    <definedName function="false" hidden="true" localSheetId="6" name="_xlnm._FilterDatabase" vbProcedure="false">Outreach!$A$1:$L$7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<sst xmlns="http://schemas.openxmlformats.org/spreadsheetml/2006/main" count="6157" uniqueCount="1426">
  <si>
    <t xml:space="preserve">Review Engine</t>
  </si>
  <si>
    <t xml:space="preserve">ShelfMark's 29 checks as a standing rubric for any store · index of 21 benchmark stores + 3 reviewed targets · 2026-09-28 · Mousa Batarseh</t>
  </si>
  <si>
    <t xml:space="preserve">What this is</t>
  </si>
  <si>
    <t xml:space="preserve">The spreadsheet behind every store review I send with an application. One rubric (29 public-page checks, 5 pillars, 0–100 score) scores any storefront in about an hour; the ShelfMark index of 21 Michigan stores is the comparison pool, so each target gets a rank, not just a number; and every role-specific finding is filed in a library that the next review reuses.</t>
  </si>
  <si>
    <t xml:space="preserve">How a score is built</t>
  </si>
  <si>
    <t xml:space="preserve">Each check is 2 (meets), 1 (partly), 0 (fails) or U (unverified from public pages). Pillar % = verified points ÷ (2 × verified checks). Score = weighted average of pillar % (weights on Rubric: Findability 25, Catalog 30, Buy 20, Trust 15, Content 10). U never counts for or against a store; Coverage and Confidence show how much was observable. Identical to the ShelfMark workbook, so scores are comparable.</t>
  </si>
  <si>
    <t xml:space="preserve">Sheets</t>
  </si>
  <si>
    <t xml:space="preserve">Rubric — pillars, weights, thresholds, the 29 checks and the published reference behind each one. Index — every store scored, benchmark and targets together (targets shaded blue), with live formulas. Checks — 29 observations per store with dated evidence; the only place scores are typed. Findings — the library: strengths, fixes and role-specific findings with counts, the duty they map to, the fix and the evidence file. Impact ledger — my own outcomes with source and confidence, the single source of truth for résumé bullets. Outreach — one row per person contacted, with status and follow-up dates. Messages — the notes that go with a review.</t>
  </si>
  <si>
    <t xml:space="preserve">The one-hour review</t>
  </si>
  <si>
    <t xml:space="preserve">1) Paste the target's homepage, robots.txt, sitemap, one category and two product URLs into the audit brief (audit-brief.md). 2) Score the 29 checks with evidence into targets/&lt;slug&gt;/audit.json. 3) Read the posting; find 4–6 findings that can be COUNTED across sampled pages and map each to a duty in the posting. 4) python3 build_workbook.py &amp;&amp; python3 build_review.py &lt;slug&gt; — the scorecard, rank, workbook and review page are generated. 5) Write the working fixes (prototypes) by hand in the company's look. 6) Send: application link + one finding to one named person within 48 hours; log the row on Outreach.</t>
  </si>
  <si>
    <t xml:space="preserve">Rules</t>
  </si>
  <si>
    <t xml:space="preserve">Public pages only; never log in, cart or submit forms. Count things (14 of 20), never characterize ("many"). Lead with three strengths. Every finding names the page, the count, the duty it maps to and the fix. No claims about health, legal or financial language. Review pages are noindex and sent as private links to one person.</t>
  </si>
  <si>
    <t xml:space="preserve">Legend</t>
  </si>
  <si>
    <t xml:space="preserve">Blue text on yellow = typed inputs (scores, contacts, statuses). Black = formulas. Green = pulled from another sheet. Blue-shaded rows on Index = reviewed targets (not part of the public benchmark).</t>
  </si>
  <si>
    <t xml:space="preserve">Author</t>
  </si>
  <si>
    <t xml:space="preserve">Mousa Batarseh · hireme@mousabatarseh.com · mousabatarseh.com · linkedin.com/in/mousabatarseh</t>
  </si>
  <si>
    <t xml:space="preserve">Rank (all)</t>
  </si>
  <si>
    <t xml:space="preserve">Rank on the benchmark</t>
  </si>
  <si>
    <t xml:space="preserve">Store</t>
  </si>
  <si>
    <t xml:space="preserve">Source</t>
  </si>
  <si>
    <t xml:space="preserve">Segment</t>
  </si>
  <si>
    <t xml:space="preserve">Platform</t>
  </si>
  <si>
    <t xml:space="preserve">HQ</t>
  </si>
  <si>
    <t xml:space="preserve">URL</t>
  </si>
  <si>
    <t xml:space="preserve">Audited</t>
  </si>
  <si>
    <t xml:space="preserve">Findability %</t>
  </si>
  <si>
    <t xml:space="preserve">F n</t>
  </si>
  <si>
    <t xml:space="preserve">Catalog %</t>
  </si>
  <si>
    <t xml:space="preserve">C n</t>
  </si>
  <si>
    <t xml:space="preserve">Buy %</t>
  </si>
  <si>
    <t xml:space="preserve">B n</t>
  </si>
  <si>
    <t xml:space="preserve">Trust %</t>
  </si>
  <si>
    <t xml:space="preserve">T n</t>
  </si>
  <si>
    <t xml:space="preserve">Content %</t>
  </si>
  <si>
    <t xml:space="preserve">N n</t>
  </si>
  <si>
    <t xml:space="preserve">Verified (of 29)</t>
  </si>
  <si>
    <t xml:space="preserve">Coverage</t>
  </si>
  <si>
    <t xml:space="preserve">Confidence</t>
  </si>
  <si>
    <t xml:space="preserve">Score</t>
  </si>
  <si>
    <t xml:space="preserve">Grade</t>
  </si>
  <si>
    <t xml:space="preserve">Band</t>
  </si>
  <si>
    <t xml:space="preserve">Weakest pillar</t>
  </si>
  <si>
    <t xml:space="preserve">Review page</t>
  </si>
  <si>
    <t xml:space="preserve">Notes</t>
  </si>
  <si>
    <t xml:space="preserve">Stormy Kromer</t>
  </si>
  <si>
    <t xml:space="preserve">Benchmark</t>
  </si>
  <si>
    <t xml:space="preserve">Brand &amp; maker</t>
  </si>
  <si>
    <t xml:space="preserve">BigCommerce</t>
  </si>
  <si>
    <t xml:space="preserve">Ironwood, MI</t>
  </si>
  <si>
    <t xml:space="preserve">https://www.stormykromer.com</t>
  </si>
  <si>
    <t xml:space="preserve">2026-09-28</t>
  </si>
  <si>
    <t xml:space="preserve">Footer X/Twitter link points to twitter.com/i/flow/login?redirect_after_login=%2FStormyKromer rather than the profile URL. Category facet lists are collapsed in fetched HTML ('No filters applied'); facets confirmed on the search results page. robots.txt blocks GPTBot entirely while allowing OAI-SearchBot.</t>
  </si>
  <si>
    <t xml:space="preserve">Gardner-White Furniture</t>
  </si>
  <si>
    <t xml:space="preserve">Retail chain</t>
  </si>
  <si>
    <t xml:space="preserve">Custom</t>
  </si>
  <si>
    <t xml:space="preserve">Auburn Hills, MI</t>
  </si>
  <si>
    <t xml:space="preserve">https://www.gardner-white.com</t>
  </si>
  <si>
    <t xml:space="preserve">Custom platform behind CloudFront; PDP content only visible via rendered fetch. HQ per /terms (4445 N Atlantic Blvd, Auburn Hills); privacy policy lists the Warren address.</t>
  </si>
  <si>
    <t xml:space="preserve">Cherry Republic</t>
  </si>
  <si>
    <t xml:space="preserve">Food &amp; drink maker</t>
  </si>
  <si>
    <t xml:space="preserve">Shopify</t>
  </si>
  <si>
    <t xml:space="preserve">Glen Arbor, MI</t>
  </si>
  <si>
    <t xml:space="preserve">https://www.cherryrepublic.com</t>
  </si>
  <si>
    <t xml:space="preserve">Shopify. Also: add store hours to the Locations page, stock state to PDPs; blog listing hides dates (only visible on the post page).</t>
  </si>
  <si>
    <t xml:space="preserve">American Spoon</t>
  </si>
  <si>
    <t xml:space="preserve">Petoskey, MI</t>
  </si>
  <si>
    <t xml:space="preserve">https://www.spoon.com</t>
  </si>
  <si>
    <t xml:space="preserve">Shopify. WebFetch surfaced no &lt;head&gt; meta block for spoon.com, so meta description and canonical are U. Collection handles carry a 'website-' prefix; /blogs/recipes 404s (recipes live under /pages/).</t>
  </si>
  <si>
    <t xml:space="preserve">Bissell</t>
  </si>
  <si>
    <t xml:space="preserve">Salesforce Commerce</t>
  </si>
  <si>
    <t xml:space="preserve">Grand Rapids, MI</t>
  </si>
  <si>
    <t xml:space="preserve">https://www.bissell.com</t>
  </si>
  <si>
    <t xml:space="preserve">HQ confirmed via Terms/Privacy: BISSELL Homecare, Inc., 2345 Walker Avenue NW, Grand Rapids, MI 49544. support.bissell.com is robots-disallowed for fetchers. robots.txt blocks ClaudeBot, GPTBot, Google-Extended, Applebot-Extended, Meta-ExternalAgent. Social icons not present in fetched footer text.</t>
  </si>
  <si>
    <t xml:space="preserve">La-Z-Boy</t>
  </si>
  <si>
    <t xml:space="preserve">Monroe, MI</t>
  </si>
  <si>
    <t xml:space="preserve">https://www.la-z-boy.com</t>
  </si>
  <si>
    <t xml:space="preserve">HQ confirmed as One La-Z-Boy Drive, Monroe, MI 48162 (Privacy Notice); homepage/contact default to the Columbus, OH gallery store. Exa fallback hit an Akamai 'Client Challenge'; WebFetch worked. Return policy is strict (3-day window, up to 30% restocking) and is not linked from the PDP itself.</t>
  </si>
  <si>
    <t xml:space="preserve">Shinola</t>
  </si>
  <si>
    <t xml:space="preserve">Detroit, MI</t>
  </si>
  <si>
    <t xml:space="preserve">https://www.shinola.com</t>
  </si>
  <si>
    <t xml:space="preserve">Collection/search product grids and Stockist store locator render client-side; fetchers saw 'No products found' although subcollections report counts (Men's Watches 134). HQ address 485 W. Milwaukee Ave, Detroit from Terms of Use. /pages/shinola-guarantee shows a theme 'This page is protected' notice. Social links not present in fetched footer text (icon links may be stripped).</t>
  </si>
  <si>
    <t xml:space="preserve">Zingerman's Mail Order</t>
  </si>
  <si>
    <t xml:space="preserve">Ann Arbor, MI</t>
  </si>
  <si>
    <t xml:space="preserve">https://www.zingermans.com</t>
  </si>
  <si>
    <t xml:space="preserve">Custom ASP.NET platform (Category.aspx, sitemap.aspx). Category URLs are query strings. No Terms page found; privacy policy lives on zingermanscommunity.com.</t>
  </si>
  <si>
    <t xml:space="preserve">Dunham's Sports</t>
  </si>
  <si>
    <t xml:space="preserve">Troy, MI</t>
  </si>
  <si>
    <t xml:space="preserve">https://www.dunhamssports.com</t>
  </si>
  <si>
    <t xml:space="preserve">Shopware 6 storefront; the mega-menu crowds page content out of text fetches, so search box, add-to-cart label and social links could not be confirmed.</t>
  </si>
  <si>
    <t xml:space="preserve">Apparel Wholesale Depot</t>
  </si>
  <si>
    <t xml:space="preserve">Wholesale / B2B</t>
  </si>
  <si>
    <t xml:space="preserve">Warren, MI</t>
  </si>
  <si>
    <t xml:space="preserve">https://www.apparelwholesaledepot.com</t>
  </si>
  <si>
    <t xml:space="preserve">Single-location wholesaler with a retail-style Shopify checkout; wholesale pricing is phone-only. /pages/contact returns 404 (the live page is /pages/contact-us). Homepage canonical and meta description were not returned in two separate fetches while product and collection pages showed both.</t>
  </si>
  <si>
    <t xml:space="preserve">Made In Detroit</t>
  </si>
  <si>
    <t xml:space="preserve">Clarkston, MI</t>
  </si>
  <si>
    <t xml:space="preserve">https://www.madeindetroit.com</t>
  </si>
  <si>
    <t xml:space="preserve">Company is Bobby Moscow, LLC at 5799 Terex, Clarkston, MI 48346 (metro Detroit) per Privacy and Return pages; the site itself only names Detroit as its origin. Social profile links not present in fetched footer text on three pages.</t>
  </si>
  <si>
    <t xml:space="preserve">English Gardens</t>
  </si>
  <si>
    <t xml:space="preserve">WooCommerce</t>
  </si>
  <si>
    <t xml:space="preserve">Dearborn Heights, MI</t>
  </si>
  <si>
    <t xml:space="preserve">https://www.englishgardens.com</t>
  </si>
  <si>
    <t xml:space="preserve">WooCommerce + Elementor 4.2.4 + Yoast. Corporate office page confirms 22650 Ford Rd, Dearborn Heights.</t>
  </si>
  <si>
    <t xml:space="preserve">Pet Supplies Plus</t>
  </si>
  <si>
    <t xml:space="preserve">Livonia, MI</t>
  </si>
  <si>
    <t xml:space="preserve">https://www.petsuppliesplus.com</t>
  </si>
  <si>
    <t xml:space="preserve">WAF returned 403 to WebFetch on every URL; rendered fetches succeeded intermittently, limiting sampling to one full PDP. HQ per Terms of Use.</t>
  </si>
  <si>
    <t xml:space="preserve">Plum Market</t>
  </si>
  <si>
    <t xml:space="preserve">Magento</t>
  </si>
  <si>
    <t xml:space="preserve">Farmington Hills, MI</t>
  </si>
  <si>
    <t xml:space="preserve">https://www.plummarket.com</t>
  </si>
  <si>
    <t xml:space="preserve">Alternate added because Belle Tire and Pet Supplies Plus were partially blocked. WordPress marketing site + Magento /store/ (wine, ships nationwide). HQ city per Dun &amp; Bradstreet / Chamber listings (Plum Market Corporation, Farmington Hills); the site itself lists 4 MI + 2 FL stores only.</t>
  </si>
  <si>
    <t xml:space="preserve">Macomb Wholesale</t>
  </si>
  <si>
    <t xml:space="preserve">Clinton Township, MI</t>
  </si>
  <si>
    <t xml:space="preserve">https://macombwholesale.net</t>
  </si>
  <si>
    <t xml:space="preserve">WebFetch was blocked by robots.txt (User-agent: * Disallow: /); all pages were read through the Exa text extraction fallback, which strips head/nav/footer — hence U on meta description, canonical, alt text, social links, skip link and homepage merchandising. Location conflict on site: About Us = corporate HQ in Clinton Twp (Hall Rd/Romeo Plank); Delivery Policy (2022) = 14 Mile Rd west of Groesbeck; product pages say 'Fraser Warehouse'.</t>
  </si>
  <si>
    <t xml:space="preserve">Lipari Foods</t>
  </si>
  <si>
    <t xml:space="preserve">https://liparifoods.com</t>
  </si>
  <si>
    <t xml:space="preserve">Sitemap category URLs (/lip-product-range/*) resolve to the single /product-range/ page. The Cut+Dry catalog (lipari.cutanddry.com → compass.liparifoods.com) returned only a loading GIF on WebFetch and Exa, so product-level data is unverifiable. HQ per Connect page is Warren, MI (Our Story references a historical Mount Clemens HQ).</t>
  </si>
  <si>
    <t xml:space="preserve">Belle Tire</t>
  </si>
  <si>
    <t xml:space="preserve">Southfield, MI</t>
  </si>
  <si>
    <t xml:space="preserve">https://www.belletire.com</t>
  </si>
  <si>
    <t xml:space="preserve">App routes serve an empty client-rendered shell and Cloudflare challenges rendered fetches, so catalog criteria are largely U. HQ from homepage contact block.</t>
  </si>
  <si>
    <t xml:space="preserve">Germack Pistachio Company</t>
  </si>
  <si>
    <t xml:space="preserve">https://www.germack.com</t>
  </si>
  <si>
    <t xml:space="preserve">Custom OMA Comp build. Blog posts undated; gallery image alts are filenames; no availability state on PDPs. HQ confirmed on site: 2509 Russell St, Detroit, MI 48207.</t>
  </si>
  <si>
    <t xml:space="preserve">Faygo Beverages</t>
  </si>
  <si>
    <t xml:space="preserve">https://www.faygo.com</t>
  </si>
  <si>
    <t xml:space="preserve">Brand site is WordPress (meta-generator 'WordPress 7.1'); the shop is Magento on nbcstorefront.com with a single product, so only one PDP could be sampled. Faygo is part of National Beverage Corp; the site states 'Made in Detroit, Michigan' and uses a 313 phone number.</t>
  </si>
  <si>
    <t xml:space="preserve">Atlas Wholesale Food Co</t>
  </si>
  <si>
    <t xml:space="preserve">https://www.atlaswholesalefood.com</t>
  </si>
  <si>
    <t xml:space="preserve">Alternate used in place of Sherwood Food Distributors. Marketing site only; catalog and pricing live inside the Pepr ordering app, which returned only head metadata to WebFetch and failed on Exa. Two Michigan locations (Detroit HQ, Westland).</t>
  </si>
  <si>
    <t xml:space="preserve">Sun Valley Foods</t>
  </si>
  <si>
    <t xml:space="preserve">https://www.sunvalleyfoods.com</t>
  </si>
  <si>
    <t xml:space="preserve">Alternate used in place of UTN Wholesale. HQ is stated only on the Careers page ('equal opportunity employer based in Detroit Michigan'); no street address appears anywhere on the site. Ordering is restricted to existing customers via the /erp login.</t>
  </si>
  <si>
    <t xml:space="preserve">Blueroot Health (storefront scored: Fairhaven Health)</t>
  </si>
  <si>
    <t xml:space="preserve">Target</t>
  </si>
  <si>
    <t xml:space="preserve">DTC brand</t>
  </si>
  <si>
    <t xml:space="preserve">Middletown, CT</t>
  </si>
  <si>
    <t xml:space="preserve">https://www.fairhavenhealth.com</t>
  </si>
  <si>
    <t xml:space="preserve">https://mousabatarseh.com/blueroot-review/</t>
  </si>
  <si>
    <t xml:space="preserve">All 40 Fairhaven fetches returned 200 via curl (no JS-render fallback needed). Review widgets (Stamped) and the Recharge subscription widget render client-side; counts were read from server-side badge attributes (data-reviews/data-rating) and SubscriptionWidgetConfig. Checkout was not entered; B3 is based on accelerated-checkout buttons on the PDP. Blog article pages were not fetched (per-store fetch cap), so N1 reflects the undated index only. Sister stores bariatricfusion.com, vitalnutrients.co and unjury.com were sampled (17 fetches total) for Part 2 cross-brand findings only and are not scored here. Health/medical claim language was deliberately not evaluated.</t>
  </si>
  <si>
    <t xml:space="preserve">Federal Fluid Power, Inc.</t>
  </si>
  <si>
    <t xml:space="preserve">B2B distributor</t>
  </si>
  <si>
    <t xml:space="preserve">Plymouth, MI</t>
  </si>
  <si>
    <t xml:space="preserve">https://federalfp.com</t>
  </si>
  <si>
    <t xml:space="preserve">https://mousabatarseh.com/federal-fluid-power-review/</t>
  </si>
  <si>
    <t xml:space="preserve">All pages fetched with curl (no 403/429). PDPs are server-rendered except the Hyva gallery/alt binding. Sitemap totals: only files 001, 005 and 009 of 9 were downloaded (54,496 URLs); the other six were not fetched to stay within the fetch cap, so site-wide figures are extrapolations from those three. Indeed job page could not be retrieved (WebFetch of the jk URL returned a different expired posting; Indeed MCP rate-limited), so posting text comes from the target brief. patriothyd.com is the same Magento install (same static version 1789741354, identical robots.txt listing both sitemaps) with the same SKUs, prices and copy; 2/2 sampled SKUs exist on both domains with self-referencing canonicals.</t>
  </si>
  <si>
    <t xml:space="preserve">Royal Apparel, Inc.</t>
  </si>
  <si>
    <t xml:space="preserve">Manufacturer (USA-made blank apparel; wholesale B2B + retail + promo channels)</t>
  </si>
  <si>
    <t xml:space="preserve">Custom (WAM / liveb2b CGI templates)</t>
  </si>
  <si>
    <t xml:space="preserve">Hauppauge, NY</t>
  </si>
  <si>
    <t xml:space="preserve">https://www.royalapparel.net</t>
  </si>
  <si>
    <t xml:space="preserve">https://mousabatarseh.com/royal-apparel-review/</t>
  </si>
  <si>
    <t xml:space="preserve">Homepage / is a 515-byte static stub (meta refresh 0 + JS location.replace) to marketing.p, which 301s to /index; the stub has a self-canonical but no title/description, /index has title+description but no canonical. Category grids and PDP buy boxes are rendered client-side from inline JSON (prodJSON, $.wam.browse.init) so prices, colors, sizes and add-to-cart are absent from server HTML; pagination is hash-based (#page=2). Stock levels and add-to-cart could not be observed (no cart/login actions taken). /product/15250006/USA-Team-Beanie.html returns 200 with 'Product Not Found' (soft 404). LinkedIn job page blocked by robots for WebFetch; posting text taken from a mirror (thesocialmediaassociation.com). Fetch tally: ~39 GETs + 17 HEADs on the target, all logged in captures/index.txt.</t>
  </si>
  <si>
    <t xml:space="preserve">Benchmark average</t>
  </si>
  <si>
    <t xml:space="preserve">Benchmark median</t>
  </si>
  <si>
    <t xml:space="preserve">Rank on the benchmark = where a target would place among the 21 Michigan stores if it joined the index (1 = best). Targets are shaded blue and are not part of the public ShelfMark index.</t>
  </si>
  <si>
    <t xml:space="preserve">Pillars &amp; weights</t>
  </si>
  <si>
    <t xml:space="preserve">Pillar</t>
  </si>
  <si>
    <t xml:space="preserve">Name</t>
  </si>
  <si>
    <t xml:space="preserve">Weight</t>
  </si>
  <si>
    <t xml:space="preserve">Question the pillar answers</t>
  </si>
  <si>
    <t xml:space="preserve">F</t>
  </si>
  <si>
    <t xml:space="preserve">Findability</t>
  </si>
  <si>
    <t xml:space="preserve">Can search engines and shoppers find the store and its products?</t>
  </si>
  <si>
    <t xml:space="preserve">C</t>
  </si>
  <si>
    <t xml:space="preserve">Catalog</t>
  </si>
  <si>
    <t xml:space="preserve">Is the product data complete enough to sell from?</t>
  </si>
  <si>
    <t xml:space="preserve">B</t>
  </si>
  <si>
    <t xml:space="preserve">Buy</t>
  </si>
  <si>
    <t xml:space="preserve">Is there a clear, trustworthy path from product to purchase?</t>
  </si>
  <si>
    <t xml:space="preserve">T</t>
  </si>
  <si>
    <t xml:space="preserve">Trust</t>
  </si>
  <si>
    <t xml:space="preserve">Does the site prove there is a real, reachable business behind it?</t>
  </si>
  <si>
    <t xml:space="preserve">N</t>
  </si>
  <si>
    <t xml:space="preserve">Content</t>
  </si>
  <si>
    <t xml:space="preserve">Does the store publish anything that helps a shopper decide?</t>
  </si>
  <si>
    <t xml:space="preserve">Total</t>
  </si>
  <si>
    <t xml:space="preserve">Grade thresholds (score ≥)</t>
  </si>
  <si>
    <t xml:space="preserve">A</t>
  </si>
  <si>
    <t xml:space="preserve">Strong</t>
  </si>
  <si>
    <t xml:space="preserve">Developing</t>
  </si>
  <si>
    <t xml:space="preserve">D</t>
  </si>
  <si>
    <t xml:space="preserve">Needs work</t>
  </si>
  <si>
    <t xml:space="preserve">At risk</t>
  </si>
  <si>
    <t xml:space="preserve">below D</t>
  </si>
  <si>
    <t xml:space="preserve">Confidence: High = 26+ verified checks, Medium = 20–25, Low = under 20 (of 29).</t>
  </si>
  <si>
    <t xml:space="preserve">Deloitte Digital for Google, “Milliseconds Make Millions” (2020): a 0.1 s mobile speed improvement was associated with +8.4% retail conversion and +9.2% AOV (correlational). Core Web Vitals thresholds (web.dev): LCP ≤ 2.5 s, INP ≤ 200 ms, CLS ≤ 0.1. Used only as context — the rubric does not score speed.</t>
  </si>
  <si>
    <t xml:space="preserve">The 29 checks</t>
  </si>
  <si>
    <t xml:space="preserve">ID</t>
  </si>
  <si>
    <t xml:space="preserve">Check</t>
  </si>
  <si>
    <t xml:space="preserve">Scores 2 when…</t>
  </si>
  <si>
    <t xml:space="preserve">Scores 1 when…</t>
  </si>
  <si>
    <t xml:space="preserve">Scores 0 when…</t>
  </si>
  <si>
    <t xml:space="preserve">Published reference (where one exists)</t>
  </si>
  <si>
    <t xml:space="preserve">F1</t>
  </si>
  <si>
    <t xml:space="preserve">HTTPS</t>
  </si>
  <si>
    <t xml:space="preserve">Site serves on https (final URL https)</t>
  </si>
  <si>
    <t xml:space="preserve">Mixed / uncertain</t>
  </si>
  <si>
    <t xml:space="preserve">http only</t>
  </si>
  <si>
    <t xml:space="preserve">F2</t>
  </si>
  <si>
    <t xml:space="preserve">robots.txt</t>
  </si>
  <si>
    <t xml:space="preserve">Present, does not block products/categories, contains a Sitemap: line</t>
  </si>
  <si>
    <t xml:space="preserve">Present but no Sitemap line, or blocks something important</t>
  </si>
  <si>
    <t xml:space="preserve">Missing, or Disallow: / for everything</t>
  </si>
  <si>
    <t xml:space="preserve">Google Search Central — robots.txt introduction and the Sitemap directive · https://developers.google.com/search/docs/crawling-indexing/robots/intro</t>
  </si>
  <si>
    <t xml:space="preserve">F3</t>
  </si>
  <si>
    <t xml:space="preserve">XML sitemap</t>
  </si>
  <si>
    <t xml:space="preserve">Reachable and includes product/category (or article) URLs</t>
  </si>
  <si>
    <t xml:space="preserve">Reachable but thin / only static pages</t>
  </si>
  <si>
    <t xml:space="preserve">Not reachable</t>
  </si>
  <si>
    <t xml:space="preserve">Google Search Central — Build and submit a sitemap (50,000 URLs / 50 MB per file) · https://developers.google.com/search/docs/crawling-indexing/sitemaps/build-sitemap</t>
  </si>
  <si>
    <t xml:space="preserve">F4</t>
  </si>
  <si>
    <t xml:space="preserve">Title tags</t>
  </si>
  <si>
    <t xml:space="preserve">Homepage title is descriptive (brand + what/where) AND a sampled product title is unique and descriptive</t>
  </si>
  <si>
    <t xml:space="preserve">Present but generic / duplicated / templated</t>
  </si>
  <si>
    <t xml:space="preserve">Missing or just 'Home'</t>
  </si>
  <si>
    <t xml:space="preserve">Google Search Central — Influencing your title links in search results · https://developers.google.com/search/docs/appearance/title-link</t>
  </si>
  <si>
    <t xml:space="preserve">F5</t>
  </si>
  <si>
    <t xml:space="preserve">Meta descriptions</t>
  </si>
  <si>
    <t xml:space="preserve">Specific meta description on homepage AND on a sampled product page</t>
  </si>
  <si>
    <t xml:space="preserve">On one only, or templated / duplicated</t>
  </si>
  <si>
    <t xml:space="preserve">None</t>
  </si>
  <si>
    <t xml:space="preserve">Google Search Central — Control your snippets in search results (unique descriptions per page) · https://developers.google.com/search/docs/appearance/snippet</t>
  </si>
  <si>
    <t xml:space="preserve">F6</t>
  </si>
  <si>
    <t xml:space="preserve">Canonical tags</t>
  </si>
  <si>
    <t xml:space="preserve">Canonical present on homepage AND product page</t>
  </si>
  <si>
    <t xml:space="preserve">On one only</t>
  </si>
  <si>
    <t xml:space="preserve">Google Search Central — Consolidate duplicate URLs with canonicals · https://developers.google.com/search/docs/crawling-indexing/consolidate-duplicate-urls</t>
  </si>
  <si>
    <t xml:space="preserve">F7</t>
  </si>
  <si>
    <t xml:space="preserve">Structured data</t>
  </si>
  <si>
    <t xml:space="preserve">Product/Breadcrumb schema evidence seen on product pages</t>
  </si>
  <si>
    <t xml:space="preserve">Partial evidence (e.g. breadcrumb schema only)</t>
  </si>
  <si>
    <t xml:space="preserve">None seen where expected</t>
  </si>
  <si>
    <t xml:space="preserve">Google Search Central — Product structured data (Offer, availability, aggregateRating rules) · https://developers.google.com/search/docs/appearance/structured-data/product</t>
  </si>
  <si>
    <t xml:space="preserve">F8</t>
  </si>
  <si>
    <t xml:space="preserve">Clean URLs</t>
  </si>
  <si>
    <t xml:space="preserve">Readable hyphenated product/category URLs, no session IDs</t>
  </si>
  <si>
    <t xml:space="preserve">Readable but awkward separators or numeric IDs appended</t>
  </si>
  <si>
    <t xml:space="preserve">Query-string-only product URLs</t>
  </si>
  <si>
    <t xml:space="preserve">Google Search Central — URL structure best practices · https://developers.google.com/search/docs/crawling-indexing/url-structure</t>
  </si>
  <si>
    <t xml:space="preserve">C1</t>
  </si>
  <si>
    <t xml:space="preserve">Product titles</t>
  </si>
  <si>
    <t xml:space="preserve">Descriptive and consistent (brand / type / size or count)</t>
  </si>
  <si>
    <t xml:space="preserve">Partially descriptive</t>
  </si>
  <si>
    <t xml:space="preserve">Vague / inconsistent</t>
  </si>
  <si>
    <t xml:space="preserve">C2</t>
  </si>
  <si>
    <t xml:space="preserve">Descriptions</t>
  </si>
  <si>
    <t xml:space="preserve">&gt;=50 words of specific copy on both sampled products</t>
  </si>
  <si>
    <t xml:space="preserve">Short / boilerplate (&lt;50 words) or only one product</t>
  </si>
  <si>
    <t xml:space="preserve">Missing</t>
  </si>
  <si>
    <t xml:space="preserve">C3</t>
  </si>
  <si>
    <t xml:space="preserve">Imagery</t>
  </si>
  <si>
    <t xml:space="preserve">&gt;=2 images per product (gallery) with alt text</t>
  </si>
  <si>
    <t xml:space="preserve">One image, or missing alt text</t>
  </si>
  <si>
    <t xml:space="preserve">None / placeholder</t>
  </si>
  <si>
    <t xml:space="preserve">C4</t>
  </si>
  <si>
    <t xml:space="preserve">Price &amp; availability</t>
  </si>
  <si>
    <t xml:space="preserve">Price AND stock state visible (B2B: clear 'login for pricing' plus how to get an account)</t>
  </si>
  <si>
    <t xml:space="preserve">Price only, no availability</t>
  </si>
  <si>
    <t xml:space="preserve">Neither / unclear</t>
  </si>
  <si>
    <t xml:space="preserve">C5</t>
  </si>
  <si>
    <t xml:space="preserve">Variants &amp; specs</t>
  </si>
  <si>
    <t xml:space="preserve">Structured variant selectors and/or a spec table</t>
  </si>
  <si>
    <t xml:space="preserve">Variants only described in text</t>
  </si>
  <si>
    <t xml:space="preserve">None where expected</t>
  </si>
  <si>
    <t xml:space="preserve">C6</t>
  </si>
  <si>
    <t xml:space="preserve">Taxonomy &amp; breadcrumbs</t>
  </si>
  <si>
    <t xml:space="preserve">Logical category tree (&gt;=2 levels) AND breadcrumbs</t>
  </si>
  <si>
    <t xml:space="preserve">Categories but no breadcrumbs</t>
  </si>
  <si>
    <t xml:space="preserve">Flat / none</t>
  </si>
  <si>
    <t xml:space="preserve">C7</t>
  </si>
  <si>
    <t xml:space="preserve">Filters &amp; sort</t>
  </si>
  <si>
    <t xml:space="preserve">Filters (price / type / attribute) AND sort on category pages</t>
  </si>
  <si>
    <t xml:space="preserve">Sort or pagination only</t>
  </si>
  <si>
    <t xml:space="preserve">C8</t>
  </si>
  <si>
    <t xml:space="preserve">Site search</t>
  </si>
  <si>
    <t xml:space="preserve">Search box with a results page</t>
  </si>
  <si>
    <t xml:space="preserve">Search present but weak / unclear</t>
  </si>
  <si>
    <t xml:space="preserve">B1</t>
  </si>
  <si>
    <t xml:space="preserve">Primary CTA</t>
  </si>
  <si>
    <t xml:space="preserve">Add to cart / order / request a quote prominent on product page AND homepage</t>
  </si>
  <si>
    <t xml:space="preserve">Present but buried</t>
  </si>
  <si>
    <t xml:space="preserve">No path to buy or enquire</t>
  </si>
  <si>
    <t xml:space="preserve">B2</t>
  </si>
  <si>
    <t xml:space="preserve">Shipping &amp; returns</t>
  </si>
  <si>
    <t xml:space="preserve">Shipping AND returns info with specifics (thresholds, timelines) linked from product page or footer</t>
  </si>
  <si>
    <t xml:space="preserve">Generic policy page only</t>
  </si>
  <si>
    <t xml:space="preserve">FTC Mail, Internet, or Telephone Order Merchandise Rule (shipping-time representations) · https://www.ftc.gov/legal-library/browse/rules/mail-internet-or-telephone-order-merchandise-rule</t>
  </si>
  <si>
    <t xml:space="preserve">B3</t>
  </si>
  <si>
    <t xml:space="preserve">Checkout access</t>
  </si>
  <si>
    <t xml:space="preserve">Guest checkout, or for B2B a clear become-a-customer application with steps</t>
  </si>
  <si>
    <t xml:space="preserve">Account required but sign-up exists</t>
  </si>
  <si>
    <t xml:space="preserve">No way to buy online</t>
  </si>
  <si>
    <t xml:space="preserve">B4</t>
  </si>
  <si>
    <t xml:space="preserve">Merchandising</t>
  </si>
  <si>
    <t xml:space="preserve">Homepage features collections / seasonal / new / best sellers with working links</t>
  </si>
  <si>
    <t xml:space="preserve">Static links only</t>
  </si>
  <si>
    <t xml:space="preserve">B5</t>
  </si>
  <si>
    <t xml:space="preserve">Trust signals</t>
  </si>
  <si>
    <t xml:space="preserve">Product or store reviews PLUS guarantees / awards / secure badges</t>
  </si>
  <si>
    <t xml:space="preserve">One type only</t>
  </si>
  <si>
    <t xml:space="preserve">T1</t>
  </si>
  <si>
    <t xml:space="preserve">Contact</t>
  </si>
  <si>
    <t xml:space="preserve">Phone + physical address + form or email</t>
  </si>
  <si>
    <t xml:space="preserve">Form or email only</t>
  </si>
  <si>
    <t xml:space="preserve">T2</t>
  </si>
  <si>
    <t xml:space="preserve">About</t>
  </si>
  <si>
    <t xml:space="preserve">Substantial about / story page</t>
  </si>
  <si>
    <t xml:space="preserve">Brief</t>
  </si>
  <si>
    <t xml:space="preserve">T3</t>
  </si>
  <si>
    <t xml:space="preserve">Policies</t>
  </si>
  <si>
    <t xml:space="preserve">Privacy AND terms (accessibility statement is a bonus)</t>
  </si>
  <si>
    <t xml:space="preserve">One</t>
  </si>
  <si>
    <t xml:space="preserve">T4</t>
  </si>
  <si>
    <t xml:space="preserve">Social</t>
  </si>
  <si>
    <t xml:space="preserve">&gt;=2 linked profiles</t>
  </si>
  <si>
    <t xml:space="preserve">T5</t>
  </si>
  <si>
    <t xml:space="preserve">Accessibility basics</t>
  </si>
  <si>
    <t xml:space="preserve">Skip link AND alt text on product images (or an accessibility statement)</t>
  </si>
  <si>
    <t xml:space="preserve">Some</t>
  </si>
  <si>
    <t xml:space="preserve">Images without alt and no skip link</t>
  </si>
  <si>
    <t xml:space="preserve">WCAG 2.2 — 1.1.1 Non-text Content and 2.4.1 Bypass Blocks · https://www.w3.org/TR/WCAG22/</t>
  </si>
  <si>
    <t xml:space="preserve">N1</t>
  </si>
  <si>
    <t xml:space="preserve">Blog / news freshness</t>
  </si>
  <si>
    <t xml:space="preserve">A dated post within the last 90 days</t>
  </si>
  <si>
    <t xml:space="preserve">Blog exists but stale or undated</t>
  </si>
  <si>
    <t xml:space="preserve">Google Search Central — Creating helpful, reliable, people-first content · https://developers.google.com/search/docs/fundamentals/creating-helpful-content</t>
  </si>
  <si>
    <t xml:space="preserve">N2</t>
  </si>
  <si>
    <t xml:space="preserve">Guides / FAQ</t>
  </si>
  <si>
    <t xml:space="preserve">FAQ AND guides / recipes / how-tos</t>
  </si>
  <si>
    <t xml:space="preserve">FAQ only, or one guide</t>
  </si>
  <si>
    <t xml:space="preserve">N3</t>
  </si>
  <si>
    <t xml:space="preserve">Locations / where to buy</t>
  </si>
  <si>
    <t xml:space="preserve">Locator or locations page with addresses &amp; hours (B2B: service area / depots)</t>
  </si>
  <si>
    <t xml:space="preserve">A bare list</t>
  </si>
  <si>
    <t xml:space="preserve">Check ID</t>
  </si>
  <si>
    <t xml:space="preserve">Evidence (what was observed, 2026-09-28)</t>
  </si>
  <si>
    <t xml:space="preserve">Canonical https://www.stormykromer.com/; all pages fetched over https</t>
  </si>
  <si>
    <t xml:space="preserve">Disallows only account/cart/checkout/search.php/admin; 'Sitemap: https://www.stormykromer.com/xmlsitemap.php' (GPTBot fully blocked)</t>
  </si>
  <si>
    <t xml:space="preserve">/sitemap.xml 404 but /xmlsitemap.php is an index with type=products, type=categories, type=pages, type=brands child sitemaps</t>
  </si>
  <si>
    <t xml:space="preserve">Home 'Rugged Wool Caps &amp; Accessories Since 1903 | Stormy Kromer®'; PDP 'The Rancher Insulated Wool Cap | Stormy Kromer®'</t>
  </si>
  <si>
    <t xml:space="preserve">Home: 'Stormy Kromer is the iconic wool winter cap with earflaps since 1903...'; PDP: 'Our fleece, wool and Thinsulate-lined Rancher Cap...'</t>
  </si>
  <si>
    <t xml:space="preserve">Canonicals on homepage, category (/mens/caps/ -&gt; /mens-caps/) and both PDPs</t>
  </si>
  <si>
    <t xml:space="preserve">schema.org BreadcrumbList JSON-LD visible in /mens-caps/ HTML; Product schema not observed</t>
  </si>
  <si>
    <t xml:space="preserve">/the-rancher-cap/, /mens-caps/, /the-original-stormy-kromer-cap/ — clean hyphenated slugs</t>
  </si>
  <si>
    <t xml:space="preserve">'The Original Stormy Kromer® Cap', 'The Rancher Cap', 'The Waxed Rancher Cap' — consistent name + type</t>
  </si>
  <si>
    <t xml:space="preserve">Original ~115 words + DETAILS bullets; Rancher ~120 words ('For those seriously cold conditions...') + 6 product FAQs</t>
  </si>
  <si>
    <t xml:space="preserve">8 and 6 gallery images; alt 'The Original Stormy Kromer Cap: a wool, six-panel winter cap with a pulldown earband, brim and tie'</t>
  </si>
  <si>
    <t xml:space="preserve">'Now: $65.00' with 'In Stock! Leaves Warehouse in 1-2 Days' on both PDPs</t>
  </si>
  <si>
    <t xml:space="preserve">Color swatches (8-12), 10-13 hat sizes, size chart + calculator; DETAILS list '22-24 oz. 85/15 wool/nylon', 'Thinsulate® Insulation'</t>
  </si>
  <si>
    <t xml:space="preserve">Breadcrumb 'Home &gt; Shop All &gt; Men's &gt; Men's Caps' on category; PDP breadcrumbs present (via collection path)</t>
  </si>
  <si>
    <t xml:space="preserve">Sort: Featured/Newest/Best Selling/A-Z/By Review/Price; 3-page pagination; 'Browse by Color, Size &amp; more' facet panel</t>
  </si>
  <si>
    <t xml:space="preserve">Header search; /search.php?search_query=cap -&gt; '144 results for cap' with Color/Size/Status/In Stock facets</t>
  </si>
  <si>
    <t xml:space="preserve">PDP add-to-cart with qty selector ('The item has been added' state); homepage 'SHOP NOW' buttons</t>
  </si>
  <si>
    <t xml:space="preserve">'Shipping $7.95 or Free Over $75' on PDP; returns 90 days, refund within four weeks, company pays only for its errors</t>
  </si>
  <si>
    <t xml:space="preserve">U</t>
  </si>
  <si>
    <t xml:space="preserve">checkout.php robots-blocked; guest checkout not observable from public pages</t>
  </si>
  <si>
    <t xml:space="preserve">Homepage: 'SHOP BEST SELLERS' /best-sellers/, 'NEW SCHOOLS ADDED' /collegiate/, 'FOR THE FIELD' /hunting/, 'SUMMER SALE'</t>
  </si>
  <si>
    <t xml:space="preserve">'5.0 Rating (1,412 reviews)' Original / '(603 reviews)' Rancher; 'Guaranteed for Life', 'No-Charge Insurance Policy'</t>
  </si>
  <si>
    <t xml:space="preserve">/contact-us/: 888-455-2253, '1238 Wall Street, Ironwood, MI 49938', email, 7-field form, live chat button</t>
  </si>
  <si>
    <t xml:space="preserve">/our-story/ ~800-900 words + Family/Values/Community/Manufacturing subpages; 'headquartered in Ironwood... Upper Peninsula'</t>
  </si>
  <si>
    <t xml:space="preserve">/privacy-policy/, /terms-and-conditions/, plus /accessibility-statement/ citing WCAG 2.2 Level AA (bonus)</t>
  </si>
  <si>
    <t xml:space="preserve">Footer links facebook.com/StormyKromer, instagram.com/stormykromerofficial, youtube.com/user/StormyKromer, tiktok.com/@stormykromer, X</t>
  </si>
  <si>
    <t xml:space="preserve">'Skip to main content' (#main-content); descriptive product image alt text; accessibility statement page</t>
  </si>
  <si>
    <t xml:space="preserve">/blog/ renders a 'Blog' header with no posts; no blog URLs in xmlsitemap.php</t>
  </si>
  <si>
    <t xml:space="preserve">/faq/ ('HOW DO I FIGURE OUT MY CAP SIZE?'), /know-your-cap-size/ guide, sizing video + printable tape, per-product FAQs</t>
  </si>
  <si>
    <t xml:space="preserve">/factory-tour/: '1238 Wall Street, Ironwood, MI 49938', store hours 'Monday - Friday 9:00 a.m. to 5:00 p.m', Google Map; /retail-finder/</t>
  </si>
  <si>
    <t xml:space="preserve">Homepage canonical https://www.gardner-white.com; every fetched page served over https</t>
  </si>
  <si>
    <t xml:space="preserve">Sitemap: https://www.gardner-white.com/sitemap.xml; Disallow only /shop/*, /account/*, /in-store/*; Crawl-delay: 10</t>
  </si>
  <si>
    <t xml:space="preserve">URL set with 3-level category tree (/living-room/sectionals/modular-sectionals) + buying guides; lastmod to 2026-09-17; no PDPs</t>
  </si>
  <si>
    <t xml:space="preserve">Home 'Gardner White Furniture &amp; Mattress Stores'; PDP 'Elliot Graphite Sofa at Gardner White' (unique per product)</t>
  </si>
  <si>
    <t xml:space="preserve">Home: 'Only Gardner White gives you low prices &amp; low payments...'; PDP: 'Elliot's streamlined silhouette creates a sofa...'</t>
  </si>
  <si>
    <t xml:space="preserve">Canonical on home (https://www.gardner-white.com) and PDP (/product/195580-elliot-graphite-sofa)</t>
  </si>
  <si>
    <t xml:space="preserve">No structured-data evidence visible in fetched text</t>
  </si>
  <si>
    <t xml:space="preserve">/product/195580-elliot-graphite-sofa: readable slug but numeric ID prefixed; category URLs clean (/living-room/sofas)</t>
  </si>
  <si>
    <t xml:space="preserve">'Elliot Graphite Sofa', 'Lawson Brown Reclining Sofa', 'Charlie 78 inch Cream Deep Seater Sofa' (name/color/type)</t>
  </si>
  <si>
    <t xml:space="preserve">Elliot: description + 5 feature bullets + collection story (~150 words); Lawson ~60 words + collection copy</t>
  </si>
  <si>
    <t xml:space="preserve">Gallery/alt not in fetched HTML (client-rendered); 12 empty thumbnail list items seen on Lawson PDP</t>
  </si>
  <si>
    <t xml:space="preserve">Elliot $1399.99 (was $1999.99) with 'Stocked:' field; Lawson $795.95 (was $1199.99); '$30 / Month' financing</t>
  </si>
  <si>
    <t xml:space="preserve">Spec table: Brand, Color/Finish, Material, Seat Height 19", W 92.25" x D 37" x H 33.5"; 'Color:' selector on Lawson</t>
  </si>
  <si>
    <t xml:space="preserve">Category breadcrumb 'Home &gt; Living Room &gt; Sofas'; 3-level tree in sitemap (/living-room/sectionals/components)</t>
  </si>
  <si>
    <t xml:space="preserve">Filters/sort not present in fetched category HTML (product grid renders client-side)</t>
  </si>
  <si>
    <t xml:space="preserve">'Search' toggle in header; results page not verified</t>
  </si>
  <si>
    <t xml:space="preserve">PDP shows price/financing but no add-to-cart label in fetched text; homepage has category/promo links only</t>
  </si>
  <si>
    <t xml:space="preserve">Delivery: free weekday doorstep, white glove from $199.99, same-day; Returns: 7 days, 25% handling fee, 48h damage claims</t>
  </si>
  <si>
    <t xml:space="preserve">Checkout not observed; Synchrony Pay Later 'offer available online only' implies online cart</t>
  </si>
  <si>
    <t xml:space="preserve">Nav: New Arrivals, Bestsellers, Clearance, Sale, Back to School; featured Split Head Mattresses, ModularThree, Lighted Headboards</t>
  </si>
  <si>
    <t xml:space="preserve">PDP 'Customer Reviews 4.0 (21)' and '4.7 (31)'; GW Mattress Pledge guarantee (/mattresses/pledge)</t>
  </si>
  <si>
    <t xml:space="preserve">Privacy: 6500 E. 14 Mile Rd, Warren MI 48092, (586) 774-8853; terms: Auburn Hills addr; chat + service form + weborders@</t>
  </si>
  <si>
    <t xml:space="preserve">About page ~75 words (founded Detroit 1912, family-owned); mostly links</t>
  </si>
  <si>
    <t xml:space="preserve">Privacy policy + Terms &amp; Conditions (/terms); bonus: Accessibility statement (WCAG 2.1 AA) and cookie policy</t>
  </si>
  <si>
    <t xml:space="preserve">No social profile URLs in fetched HTML on 4 pages (footer appears client-rendered)</t>
  </si>
  <si>
    <t xml:space="preserve">'Skip to Content' (#main) on every page + accessibility statement citing WCAG 2.1 AA</t>
  </si>
  <si>
    <t xml:space="preserve">news.gardner-white.com post 'Gardner White Hosts Laila Lockhart Kraner...' dated September 9, 2026</t>
  </si>
  <si>
    <t xml:space="preserve">FAQ page (/about/faq) + buying guides (/buying-guides/leather-buying-guide) + sofa FAQ block on category page</t>
  </si>
  <si>
    <t xml:space="preserve">/stores lists 30+ locations with street address + phone (e.g. 6500 E. 14 Mile Rd, Warren (586) 826-8300); hours in FAQ</t>
  </si>
  <si>
    <t xml:space="preserve">https://www.cherryrepublic.com/ with https canonical</t>
  </si>
  <si>
    <t xml:space="preserve">robots.txt allows /products/ and /collections/; 'Sitemap: https://www.cherryrepublic.com/sitemap.xml'</t>
  </si>
  <si>
    <t xml:space="preserve">Sitemap index -&gt; sitemap_products_1.xml, sitemap_collections_1.xml, sitemap_blogs_1.xml, sitemap_pages_1.xml</t>
  </si>
  <si>
    <t xml:space="preserve">Home 'Michigan Cherries &amp; Iconic Cherry Products | Cherry Republic'; PDP 'Dark Chocolate-Covered Cherries | Cherry Republic'</t>
  </si>
  <si>
    <t xml:space="preserve">Home 'Savor the taste of Northern Michigan...'; PDP 'Our dark chocolate-covered cherries blend rich cocoa...'</t>
  </si>
  <si>
    <t xml:space="preserve">Canonical on home (/) and PDP (/products/dark-chocolate-covered-cherries-16oz)</t>
  </si>
  <si>
    <t xml:space="preserve">No ld+json evidence in fetched text</t>
  </si>
  <si>
    <t xml:space="preserve">/collections/chocolate, /products/amaretto-chocolate-covered-cherries - hyphenated, no IDs</t>
  </si>
  <si>
    <t xml:space="preserve">'Dark Chocolate Covered Cherries', 'Amaretto Chocolate Covered Cherries' - consistent; size via variant</t>
  </si>
  <si>
    <t xml:space="preserve">Dark Choc PDP ~200 words; Amaretto PDP only ~50 words (2 sentences)</t>
  </si>
  <si>
    <t xml:space="preserve">Dark Choc: 6 images, an alt wrongly says 'Chocolate-covered almonds'; Amaretto: 3 images with no alt text</t>
  </si>
  <si>
    <t xml:space="preserve">Prices $15.95/$20.95 shown; no in-stock/sold-out state on PDP or collection</t>
  </si>
  <si>
    <t xml:space="preserve">Size selector '7 oz. bag / 14 oz. bag'; Amaretto 'Size: 12 oz. bag'; nutrition label image</t>
  </si>
  <si>
    <t xml:space="preserve">Nav Everything Cherry &gt; 14 collections; breadcrumbs 'Home &gt; Chocolate', 'Home &gt; Dark Chocolate Covered Cherries'</t>
  </si>
  <si>
    <t xml:space="preserve">9 sort options (Featured, Best selling, Price low to high...) + pagination; no filters on /collections/chocolate</t>
  </si>
  <si>
    <t xml:space="preserve">/search?q=cherry+salsa returns '202 results found for "cherry salsa"'</t>
  </si>
  <si>
    <t xml:space="preserve">'Add to cart' on PDP; 'Shop Now' / 'Quick Shop' on homepage</t>
  </si>
  <si>
    <t xml:space="preserve">Shipping: $14.95 &lt;$99, free $99-$250, 2-5 business days, cold packs; Bob's Guarantee: report damage within 24 hrs</t>
  </si>
  <si>
    <t xml:space="preserve">Checkout not fetchable (robots blocks /checkout); guest option not observable</t>
  </si>
  <si>
    <t xml:space="preserve">Home links Best Sellers, New &amp; Seasonal, Free Ship Gifts, Gift Boxes, Chocolate collections</t>
  </si>
  <si>
    <t xml:space="preserve">Homepage 5-star testimonials + press quotes; '100% Satisfaction Guarantee'; USA Today Top Workplaces 2026</t>
  </si>
  <si>
    <t xml:space="preserve">(800) 206-6949, info@cherryrepublic.com, /pages/contact; HQ 6026 South Lake St, Glen Arbor, MI 49636</t>
  </si>
  <si>
    <t xml:space="preserve">/pages/about-cherry-republic ~350 words 'Since 1989' + separate /pages/our-history</t>
  </si>
  <si>
    <t xml:space="preserve">Privacy Policy (/policies/privacy-policy) + Terms of Service; /pages/accessibility too (bonus)</t>
  </si>
  <si>
    <t xml:space="preserve">Facebook, Instagram, Pinterest, Twitter linked</t>
  </si>
  <si>
    <t xml:space="preserve">'Skip to content' (#content); descriptive alts on home/collection images; /pages/accessibility</t>
  </si>
  <si>
    <t xml:space="preserve">Up North Blog post 'Tart Cherries vs Sweet Cherries' shows 'Posted on September 10, 2026'</t>
  </si>
  <si>
    <t xml:space="preserve">FAQ page (/pages/frequently-asked-questions) + Recipes blog + Gifting Guide page</t>
  </si>
  <si>
    <t xml:space="preserve">Locations page lists 11 MI stores with addresses &amp; phones but no hours</t>
  </si>
  <si>
    <t xml:space="preserve">https://spoon.com/ (www redirects to the apex domain, https)</t>
  </si>
  <si>
    <t xml:space="preserve">robots.txt allows /products/ &amp; /collections/, blocks /cart, /checkout; 'Sitemap: https://spoon.com/sitemap.xml'</t>
  </si>
  <si>
    <t xml:space="preserve">Sitemap index -&gt; sitemap_products_1.xml, sitemap_collections_1.xml, sitemap_pages_1.xml, sitemap_blogs_1.xml</t>
  </si>
  <si>
    <t xml:space="preserve">Home &lt;title&gt; is just 'American Spoon'; PDP 'Sour Cherry Preserves - American Spoon'; collection title has a stray '*'</t>
  </si>
  <si>
    <t xml:space="preserve">WebFetch returned no &lt;head&gt; meta block for any spoon.com page; description not verifiable</t>
  </si>
  <si>
    <t xml:space="preserve">Canonical not visible in fetched content (no meta block returned for spoon.com)</t>
  </si>
  <si>
    <t xml:space="preserve">/products/sour-cherry-preserves, /collections/website-jam-preserves-nut-butters - hyphenated, no IDs</t>
  </si>
  <si>
    <t xml:space="preserve">'Sour Cherry Preserves', 'Red Haven Peach Preserves', 'Early Glow Strawberry Preserves' - variety + type; 9.5 oz shown</t>
  </si>
  <si>
    <t xml:space="preserve">~150 words (Sour Cherry) and ~140 words (Red Haven Peach) incl. pairings and ingredients</t>
  </si>
  <si>
    <t xml:space="preserve">8 and 6 gallery images with alts like 'A jar of Sour Cherry Preserves', 'Peach cobbler with vanilla ice cream'</t>
  </si>
  <si>
    <t xml:space="preserve">$13.95 shown; 'Sold Out'/'Unavailable' states on collection cards and the PDP button</t>
  </si>
  <si>
    <t xml:space="preserve">Ingredients 'Red tart cherries, sugar, lemon juice, pectin'; net weight '9.5 oz / 269 g'; single 'Default Title' variant</t>
  </si>
  <si>
    <t xml:space="preserve">Nav Shop &gt; 11 collections, Gifts &gt; 9 collections; no breadcrumbs on collection or PDP</t>
  </si>
  <si>
    <t xml:space="preserve">'Sort by' + pagination (1, 2, 3, &gt;) on /collections/all; no filters</t>
  </si>
  <si>
    <t xml:space="preserve">Header search box; /search?q=cherry -&gt; '57 results' e.g. Fruit Perfect Sour Cherries $14.95</t>
  </si>
  <si>
    <t xml:space="preserve">'Add to Cart' on PDP; 'Shop Now' / 'Quick Shop' on homepage</t>
  </si>
  <si>
    <t xml:space="preserve">Shipping tiers $10 (&lt;=$50) to $20 (&gt;$175), '12 or more items ship for $12', regional transit 1-6 days; refund/replace policy</t>
  </si>
  <si>
    <t xml:space="preserve">Checkout not observable (robots blocks /checkout); no guest-checkout text on FAQ or customer-service pages</t>
  </si>
  <si>
    <t xml:space="preserve">Home: 'Stock Your Pantry', Fall Harvest, Bestsellers, New &amp; Limited Edition; badges 'Best Seller'/'New'</t>
  </si>
  <si>
    <t xml:space="preserve">Homepage testimonials with star imagery (David C., Aimee G.); no guarantee/award/secure badges</t>
  </si>
  <si>
    <t xml:space="preserve">888-735-6700, help@spoon.com, '1668 Clarion Avenue, Petoskey, Michigan 49770', Mon-Fri 9am-5pm EST</t>
  </si>
  <si>
    <t xml:space="preserve">/pages/about ~2,000+ words; founded 1982 in Petoskey by Justin Rashid &amp; Larry Forgione</t>
  </si>
  <si>
    <t xml:space="preserve">Privacy (customer-service#privacy) + Terms of Service (/policies/terms-of-service) + Accessibility Statement (bonus)</t>
  </si>
  <si>
    <t xml:space="preserve">Instagram @americanspoon + Facebook americanspoon</t>
  </si>
  <si>
    <t xml:space="preserve">'Skip to content' (#MainContent); descriptive image alts; /pages/accessibility-statement</t>
  </si>
  <si>
    <t xml:space="preserve">/blogs/news is empty (sitemap lastmod 2020-03-17); recipes at /pages/featured-recipes are undated</t>
  </si>
  <si>
    <t xml:space="preserve">'FAQ &amp; Allergen Information' page + recipe hub ('Fall Whoopie Pies', 'Bloody Mary')</t>
  </si>
  <si>
    <t xml:space="preserve">/pages/stores: 6 MI stores with addresses, phones, hours e.g. '411 East Lake Street, Petoskey' Mon-Sat 10am-7pm</t>
  </si>
  <si>
    <t xml:space="preserve">Canonical https://www.bissell.com/ and https://www.bissell.com/en-us/...; all pages served over https</t>
  </si>
  <si>
    <t xml:space="preserve">Blocks only cart/checkout/search/demandware.store; 'Sitemap: http://www.bissell.com/en-us/sitemap_index.xml' (ClaudeBot/GPTBot blocked)</t>
  </si>
  <si>
    <t xml:space="preserve">/sitemap.xml 404; /en-us/sitemap_index.xml -&gt; sitemap_0-product.xml (~400 URLs), sitemap_1-category.xml (120+), sitemap_content.xml</t>
  </si>
  <si>
    <t xml:space="preserve">Home 'BISSELL® | Carpet Cleaners, Vacuums, Steam Cleaners &amp; More'; PDP 'Little Green® Portable Carpet Cleaner 1400B | BISSELL®'</t>
  </si>
  <si>
    <t xml:space="preserve">Home '150 years of cleaning innovation...'; PDP 'With strong spray and suction, remove tough spots and stains... Little Green®'</t>
  </si>
  <si>
    <t xml:space="preserve">Canonical on homepage, PLP and both PDPs (e.g. .../little-green-mini-portable-carpet-upholstery-cleaner-4075.html)</t>
  </si>
  <si>
    <t xml:space="preserve">No ld+json or rich-result text visible in fetched HTML</t>
  </si>
  <si>
    <t xml:space="preserve">/en-us/product/little-green-mini-portable-carpet-upholstery-cleaner-4075.html; /category/products/carpet-cleaners/portable-carpet-cleaners/</t>
  </si>
  <si>
    <t xml:space="preserve">'Little Green® Portable Carpet Cleaner' 1400B, 'Little Green® Mini Portable Carpet Cleaner' 4075 — family + type + model</t>
  </si>
  <si>
    <t xml:space="preserve">1400B ~400 words ('Effortlessly erase spots, stains, and spills...'); 4075 ~180 words ('Our viral Little Green® machine just got mini-fied')</t>
  </si>
  <si>
    <t xml:space="preserve">4-image carousels; 4075 alt 'Little Green Mini Portable Carpet Cleaner being carried across living area'; 1400B alt weak ('POC1A')</t>
  </si>
  <si>
    <t xml:space="preserve">Prices shown ($129.99; $89.99 down from $99.99) but no In stock/Out of stock text on PDPs</t>
  </si>
  <si>
    <t xml:space="preserve">Spec tables: 'Power Cord Length 15'', 'Clean Tank Capacity 48 Ounces', 'Weight 9.65 lbs', 'Similar Models'; color listed</t>
  </si>
  <si>
    <t xml:space="preserve">Tree Products &gt; Carpet Cleaners &gt; Portable &gt; Little Green; breadcrumbs 'Home &gt; Portable Carpet Cleaners' on PDP and on PLP</t>
  </si>
  <si>
    <t xml:space="preserve">PLP shows pagination only ('1', '2' offset=12); no filter or sort controls in fetched HTML of /portable-carpet-cleaners/</t>
  </si>
  <si>
    <t xml:space="preserve">'Go to search' skip link confirms header search; results page not fetchable (robots 'Disallow: */search')</t>
  </si>
  <si>
    <t xml:space="preserve">Homepage 'Shop Now' CTAs, PDP price rendered, but no Add-to-Cart/Buy text in fetched PDP HTML (buy box appears JS-rendered)</t>
  </si>
  <si>
    <t xml:space="preserve">Banner 'Free Shipping On Orders Over $100'; footer Returns -&gt; support.bissell.com (robots-blocked); 60-day page covers 6 models only</t>
  </si>
  <si>
    <t xml:space="preserve">Checkout paths robots-blocked (*/review-and-pay); guest checkout not observable</t>
  </si>
  <si>
    <t xml:space="preserve">Homepage: new Pet Care line, Specials '15% Off Steam &amp; Sanitize', /category/specials/, Sale, The Clean List links</t>
  </si>
  <si>
    <t xml:space="preserve">PLP/PDP '4.4 out of 5 stars. 1372 reviews', 'Top Seller' badge; '30-day Money Back Guarantee', 'Pet Proven®' certification</t>
  </si>
  <si>
    <t xml:space="preserve">800-237-7691 with hours, '2345 Walker Avenue NW, Grand Rapids, Michigan 49544', consumercentral@BISSELL.com (Terms/Privacy); support form</t>
  </si>
  <si>
    <t xml:space="preserve">/en-us/about-us.html ~450 words: Our Story, History ('Since 1876'), Sustainability, Community, Pet Focus; HQ city not stated</t>
  </si>
  <si>
    <t xml:space="preserve">'BISSELL Privacy Notice' (Oct 4, 2023), 'BISSELL Terms of Service' (Mar 22, 2024), plus /web-accessibility/ WCAG 2AA (bonus)</t>
  </si>
  <si>
    <t xml:space="preserve">No facebook/instagram/youtube/tiktok URLs in fetched header/footer of homepage</t>
  </si>
  <si>
    <t xml:space="preserve">Skip links 'Main content / Go to main navigation / Go to search / Go to footer'; PDP alt text; accessibility statement</t>
  </si>
  <si>
    <t xml:space="preserve">The Clean List (/en-us/blog/) and articles.bissell.com list posts with no visible dates; sitemap lastmod is a bulk 2026-09-19 stamp</t>
  </si>
  <si>
    <t xml:space="preserve">Per-product FAQs on PDP, /cleaning-tips/carpet-cleaning/carpet-cleaning-faqs/, how-tos like 'How to Get Chocolate Out of Carpet'</t>
  </si>
  <si>
    <t xml:space="preserve">/en-us/service-center-locator/ shows only 'Loading...'; no retailer/where-to-buy page found in footer or sitemaps</t>
  </si>
  <si>
    <t xml:space="preserve">Canonical https://www.la-z-boy.com/; all pages served over https</t>
  </si>
  <si>
    <t xml:space="preserve">'Disallow: /*?' with 'Allow: /b/*?' and 'Allow: /p/*?'; blocks cart/checkout/account; 4 Sitemap: lines incl. sitemap_detail0.xml</t>
  </si>
  <si>
    <t xml:space="preserve">/sitemap.xml 404; sitemap_detail0.xml has ~650 /p/ product URLs, sitemap_navigation0.xml 50+ /b/ categories, storepages.xml</t>
  </si>
  <si>
    <t xml:space="preserve">Home 'Home Furniture: Living Room &amp; Bedroom Furniture | La-Z-Boy'; PDP 'Joshua Power Rocking Recliner w/ Headrest | La-Z-Boy'</t>
  </si>
  <si>
    <t xml:space="preserve">No meta description on homepage or /b/living-room/recliners; PDPs have one (long copy: 'Just take a seat and see how Vail moves you...')</t>
  </si>
  <si>
    <t xml:space="preserve">Canonical on homepage and PDPs (canonical https://www.la-z-boy.com/p/living-room/recliners/rocking-recliners/vail-rocking-recliner/R-010403)</t>
  </si>
  <si>
    <t xml:space="preserve">Readable slugs but ID suffixes and '/_/' separators: /p/vail-rocking-recliner/_/R-010403, /b/living-room/recliners/_/N-musa9i</t>
  </si>
  <si>
    <t xml:space="preserve">'Vail Rocking Recliner', 'Joshua Power Rocking Recliner w/ Headrest', 'Baron Power Wall Recliner w/ Headrest &amp; Lumbar'</t>
  </si>
  <si>
    <t xml:space="preserve">Vail ~180-200 words ('Like its namesake city, the Vail Rocking Recliner is rich in beauty...'); Joshua ~180 words</t>
  </si>
  <si>
    <t xml:space="preserve">8+ PDP images; alt 'Vail Rocking Recliner', 'Product Dimensions from Front'; PLP card images lack alt</t>
  </si>
  <si>
    <t xml:space="preserve">'$799' / '$2,099' with 'Made to Order. Delivery in 6-8 weeks.'; PLP cards 'In stock for Columbus, OH' / 'Made to order'</t>
  </si>
  <si>
    <t xml:space="preserve">Cover swatches (e.g. 'Burgundy (Seamount B153808)'), base/cushion/handle options; specs '32W x 36D x 40.5H', 'Seat Height 18 in.', '62 lb.'</t>
  </si>
  <si>
    <t xml:space="preserve">'Home &gt; Living Room &gt; Recliners &gt; Rocking Recliners &gt; Vail Rocking Recliner'; 3-level /b/ tree (living-room/sofas/reclining-sofas)</t>
  </si>
  <si>
    <t xml:space="preserve">Filters: Product Type, Availability, Mechanism, Cover, Color, Price, Features, Dimensions, Style; sort 6 options; '(372 items)' Load More</t>
  </si>
  <si>
    <t xml:space="preserve">Header search box present; results page not fetchable (robots 'Disallow: /*?', '/no-results' hints results page exists)</t>
  </si>
  <si>
    <t xml:space="preserve">'Add To Cart' on PDPs; homepage 'Shop Now' / 'Order now' buttons</t>
  </si>
  <si>
    <t xml:space="preserve">PDP 'Delivery in 6-8 weeks', 'Hand-delivered to your home'; return policy: 3 days upholstery, restocking fee up to 30%, office 30 days</t>
  </si>
  <si>
    <t xml:space="preserve">/checkout/ robots-blocked; guest checkout not observable</t>
  </si>
  <si>
    <t xml:space="preserve">Homepage: collections Liam/Morrison/Belmont (/b/liam...), 'Customer Appreciation Sales Event - 25% off', best sellers, shop by category</t>
  </si>
  <si>
    <t xml:space="preserve">'Includes our Limited Lifetime Warranty', 'Handcrafted in North America'; 'Reviews' anchor exists but no rating/count rendered</t>
  </si>
  <si>
    <t xml:space="preserve">Contact page: 1-800-375-6890, form with upload; 'One La-Z-Boy Drive, Monroe, MI 48162' + privacy@la-z-boy.com in Privacy Notice</t>
  </si>
  <si>
    <t xml:space="preserve">No About/Our Story page; /content/AboutLaZBoy/OurBrands ~300 words ('invented the iconic recliner in 1927'), HQ not mentioned</t>
  </si>
  <si>
    <t xml:space="preserve">'Privacy Notice | La-Z-Boy' (Sept 22, 2023) and /policies/terms-of-use; no accessibility statement found</t>
  </si>
  <si>
    <t xml:space="preserve">facebook.com/lazboy, instagram.com/lazboy, pinterest.com/lazboy in footer</t>
  </si>
  <si>
    <t xml:space="preserve">'Skip to main content' (#site-wrapper); PDP images have alt text; PLP product images lack alt</t>
  </si>
  <si>
    <t xml:space="preserve">No blog: footer has none, /blog returns 404, no article URLs in staticpages.xml or navigation sitemap</t>
  </si>
  <si>
    <t xml:space="preserve">/CustomerCare/FAQs, /fabric-and-leather-care guide, /customer-care-videos how-tos ('How to Install the Optional Lithium-Ion Battery Pack')</t>
  </si>
  <si>
    <t xml:space="preserve">/storeLocator/storeLocator.jsp: zip/city search, entries with address + phone, hours ('Open Today 10am - 7pm'); storepages.xml sitemap</t>
  </si>
  <si>
    <t xml:space="preserve">Canonical https://www.shinola.com/; all fetched pages served over https</t>
  </si>
  <si>
    <t xml:space="preserve">robots.txt: 'Allow: /', disallows only /admin, /cart/, /checkout, sort/filter params; 'Sitemap: https://www.shinola.com/sitemap.xml'</t>
  </si>
  <si>
    <t xml:space="preserve">sitemap.xml index -&gt; sitemap_products_1/2.xml (200+ product URLs), sitemap_collections_1.xml, sitemap_blogs_1.xml</t>
  </si>
  <si>
    <t xml:space="preserve">Home 'Shinola | The American Watchmaker'; PDPs 'Runwell Watch | Shinola', 'Canfield Sport Chronograph Watch | Shinola'</t>
  </si>
  <si>
    <t xml:space="preserve">Homepage has specific meta desc; PDP meta desc is auto-truncated body copy ending mid-sentence ('...clean white dial while')</t>
  </si>
  <si>
    <t xml:space="preserve">Canonical on homepage and both PDPs (e.g. https://www.shinola.com/products/runwell-watch-white)</t>
  </si>
  <si>
    <t xml:space="preserve">No ld+json or rich-result text visible; only og:type 'product' meta seen</t>
  </si>
  <si>
    <t xml:space="preserve">/products/canfield-sport-chronograph-watch-midnight-blue, /collections/mens-watches; no IDs or session params</t>
  </si>
  <si>
    <t xml:space="preserve">'Runwell Watch', 'Canfield Sport Chronograph Watch' — consistent family + type naming across catalog</t>
  </si>
  <si>
    <t xml:space="preserve">Runwell ~75 words ('Any watch can tell the time. Runwell sets the pace...'); Canfield Sport ~70-80 words of specific copy</t>
  </si>
  <si>
    <t xml:space="preserve">Runwell PDP 6 gallery images, Canfield 5; alt 'Runwell Watch - White' / 'Canfield Sport Chronograph Watch - Midnight Blue'</t>
  </si>
  <si>
    <t xml:space="preserve">Prices $750 and $1,450 shown; no 'In stock' text — Canfield variant only shows 'Notify Me' back-in-stock control</t>
  </si>
  <si>
    <t xml:space="preserve">Color swatch selector (13 Runwell colorways), engraving add-on (+$20); specs 'Case Size 41mm', 'Case Material Stainless Steel', 'Movement'</t>
  </si>
  <si>
    <t xml:space="preserve">3-level tree (Watches &gt; Men's Watches 134 &gt; Runwell Watches 57) but PDP breadcrumb is only 'Home • Runwell Watch'; none on collections</t>
  </si>
  <si>
    <t xml:space="preserve">/collections/watches filters: case size, movement, style; no sort control seen (only 3/4-column toggle); grid JS-rendered, no cards</t>
  </si>
  <si>
    <t xml:space="preserve">Header search; /search?q=runwell titled 'Search: 190 results found for "runwell"' (results grid JS-rendered)</t>
  </si>
  <si>
    <t xml:space="preserve">'Add to Cart' on PDPs; homepage CTAs 'Shop Limited Edition Skeleton Monster', 'Shop All New Arrivals'</t>
  </si>
  <si>
    <t xml:space="preserve">Shipping: free over $125, UPS 5-7 days, 2-day $19.95; Returns: 30 days, prepaid label $125+, refund 2-3 business days</t>
  </si>
  <si>
    <t xml:space="preserve">Shopify checkout behind /cart (robots-blocked); guest-checkout option not observable from public pages</t>
  </si>
  <si>
    <t xml:space="preserve">Homepage links /collections/new-arrivals, /collections/best-sellers, featured Bronze Runwell &amp; Skeleton Monster, category tiles</t>
  </si>
  <si>
    <t xml:space="preserve">Guarantees: 'limited lifetime warranty on most timepieces', 'Easy 30-Day Returns'; no product reviews/ratings on PDPs</t>
  </si>
  <si>
    <t xml:space="preserve">1-844-744-6652 (FAQ/Terms), 485 W. Milwaukee Ave, Detroit, MI 48202, customer.service@shinola.com (Terms); no dedicated contact page</t>
  </si>
  <si>
    <t xml:space="preserve">/pages/about ~3,000 words: 2011-2026 timeline, 'Our Detroit headquarters occupies 95,000 square feet... Argonaut Building'</t>
  </si>
  <si>
    <t xml:space="preserve">'Privacy Policy – Shinola' (updated 3/16/2026) and 'Terms of Use – Shinola'; no accessibility statement found</t>
  </si>
  <si>
    <t xml:space="preserve">No instagram/facebook/youtube/tiktok URLs in fetched header/footer on homepage, /pages/about, /pages/store-locator</t>
  </si>
  <si>
    <t xml:space="preserve">'Skip to content' (#main) on every page; PDP gallery images carry alt text</t>
  </si>
  <si>
    <t xml:space="preserve">/blogs/news has 3 posts dated 05.12.15, 02.06.14, 05.15.12; sitemap lastmod 2025-06-18; Stories of Craft undated</t>
  </si>
  <si>
    <t xml:space="preserve">Customer Care FAQ (30+ Qs) plus Watch Strap Changing Guide, Automatic Watch Winding Guide, Repair Cost Guide, Product Manuals</t>
  </si>
  <si>
    <t xml:space="preserve">/pages/store-locator: Stockist 'Search locations', 'Shinola Stores'/'Authorized Dealers' sections; entries JS-loaded, no addresses seen</t>
  </si>
  <si>
    <t xml:space="preserve">All pages served at https://www.zingermans.com/</t>
  </si>
  <si>
    <t xml:space="preserve">robots.txt blocks only /Cart, /Account, /AddToCart.aspx etc.; 'Sitemap: https://www.zingermans.com/sitemap.aspx'</t>
  </si>
  <si>
    <t xml:space="preserve">sitemap.aspx flat, ~1,000+ /Product/ URLs e.g. /Product/irish-brown-soda-bread/B-ISB</t>
  </si>
  <si>
    <t xml:space="preserve">Home 'Zingerman's: Online Shopping for Food and Gifts'; PDP 'Bayley Hazen Blue Cheese for sale. Buy online at...'</t>
  </si>
  <si>
    <t xml:space="preserve">Home 'Ship great food anywhere in America...'; PDP 'Rich, savory blue cheese from Vermont, hand cut...'</t>
  </si>
  <si>
    <t xml:space="preserve">Canonical on both PDPs; none seen on homepage or category pages</t>
  </si>
  <si>
    <t xml:space="preserve">PDP /Product/zingermans-manchester-cheese/C-MNC readable; categories are query strings Category.aspx?Category=cheeses</t>
  </si>
  <si>
    <t xml:space="preserve">'Bayley Hazen Blue Cheese from Jasper Hill', 'Zingerman's Manchester Cheese' + subtitle; size in variant</t>
  </si>
  <si>
    <t xml:space="preserve">~350 words (Bayley Hazen) and ~320 words incl. a recipe (Manchester)</t>
  </si>
  <si>
    <t xml:space="preserve">One image per PDP, alt 'Bayley Hazen Blue Cheese from Jasper Hill'</t>
  </si>
  <si>
    <t xml:space="preserve">$23 (0.5 lb)/$45 (1 lb); 'Delivery By OCTOBER 2'; 'sold out' on Cave Aged Taleggio; 'Email me when it's back in stock'</t>
  </si>
  <si>
    <t xml:space="preserve">Size dropdown '0.50 lb, $23.00 / 1.00 lb, $45.00'; specs 'Cow's milk, Pasteurized, Traditional rennet'</t>
  </si>
  <si>
    <t xml:space="preserve">Breadcrumb 'Home &gt; Cheese &gt; American Cheeses &gt; Bayley Hazen Blue Cheese from Jasper Hill'; 3-level tree</t>
  </si>
  <si>
    <t xml:space="preserve">Category product grid is JS-rendered; no filter/sort controls visible in fetched HTML (WebFetch + Exa)</t>
  </si>
  <si>
    <t xml:space="preserve">'Search' link in nav; results page not found (Search.aspx?q= returned the homepage)</t>
  </si>
  <si>
    <t xml:space="preserve">Homepage cards 'Add to cart' + 'QUICK LOOK'; PDP size dropdown + Quantity add form</t>
  </si>
  <si>
    <t xml:space="preserve">Shipping tables: $12.99 flat non-perishable, tiers to $58.99, 1-4 business days; 'Returnless Guarantee' refund/replace</t>
  </si>
  <si>
    <t xml:space="preserve">CustService: 'You can choose to check out as a guest if you don't want to create an account'</t>
  </si>
  <si>
    <t xml:space="preserve">Home: 'New Food Finds', 'Nut &amp; Seed Pop-Up Shop', 'Made in Michigan', Best Selling sections linked</t>
  </si>
  <si>
    <t xml:space="preserve">'Our Unbeatable Guarantee' + Food &amp; Wine quote; no product ratings/reviews</t>
  </si>
  <si>
    <t xml:space="preserve">888.636.8162, service@zingermans.com, '610 Phoenix Drive, Ann Arbor, MI 48108'; pickup at 720 Phoenix Dr</t>
  </si>
  <si>
    <t xml:space="preserve">AboutUs.aspx ~1,200-1,400 words; founded 1982 by Paul Saginaw &amp; Ari Weinzweig</t>
  </si>
  <si>
    <t xml:space="preserve">Privacy policy (hosted on zingermanscommunity.com) + accessibility statement; no Terms page found</t>
  </si>
  <si>
    <t xml:space="preserve">Instagram (zingermansmailorder) + Facebook (Zingermans)</t>
  </si>
  <si>
    <t xml:space="preserve">'Skip to main content' (#main-target-tag); PDP image alt present; accessibility statement in CustService</t>
  </si>
  <si>
    <t xml:space="preserve">The Feed (thefeed.zingermans.com) latest post 'Issue no. 145' dated September 12, 2024 - 2 years stale</t>
  </si>
  <si>
    <t xml:space="preserve">CustService FAQ ('What's your return policy?', 'How should I keep my bread?') + PDP recipes/storage guides</t>
  </si>
  <si>
    <t xml:space="preserve">Pickup 'at 720 Phoenix Drive in Ann Arbor, MI' mentioned; no hours, no locator or locations page</t>
  </si>
  <si>
    <t xml:space="preserve">Canonical https://www.dunhamssports.com/; all pages https</t>
  </si>
  <si>
    <t xml:space="preserve">Sitemap line present; '*' disallows */account/, */checkout/, */navigation/; 'Disallow: /' only for PetalBot/Baidu/Yandex/sogou</t>
  </si>
  <si>
    <t xml:space="preserve">Index -&gt; sitemap/sitemap_product.xml.gz, sitemap_category.xml.gz, sitemap_home.xml.gz; lastmod 2026-09-24</t>
  </si>
  <si>
    <t xml:space="preserve">Home 'Your Local Sporting Goods Store | Coupons... | Dunham's Sports'; PDP 'Under Armour Men's Charged Pursuit 3 Running Shoes'</t>
  </si>
  <si>
    <t xml:space="preserve">Home meta specific ('Big Name, Low Prices...'); PDP meta duplicates the title ('Under Armour Men's Charged Pursuit 3 Running Shoes')</t>
  </si>
  <si>
    <t xml:space="preserve">Canonical on home and PDP (.../charged-pursuit-3-running-shoes-W0000117118.html)</t>
  </si>
  <si>
    <t xml:space="preserve">No structured-data evidence visible</t>
  </si>
  <si>
    <t xml:space="preserve">PDP /under-armour-men-s-charged-pursuit-3-running-shoes-W0000117118.html (SKU suffix); category /footwear-1/ (numeric suffix)</t>
  </si>
  <si>
    <t xml:space="preserve">'Under Armour Men's Charged Pursuit 3 Running Shoes', '...Charged Assert 10 Wide Running Shoes' (brand/gender/model/type)</t>
  </si>
  <si>
    <t xml:space="preserve">Both PDPs: Product Details paragraph + 5 Specifications bullets (~70-80 words of specific copy each)</t>
  </si>
  <si>
    <t xml:space="preserve">One product image captured, alt='Under Armour Men's Charged Assert 10 Wide Running Shoes'; gallery not verified</t>
  </si>
  <si>
    <t xml:space="preserve">$54.97, 'Regular $75.00 (Save $20.03)'; no in-stock state on PDP ('inventory shown online may not reflect...store')</t>
  </si>
  <si>
    <t xml:space="preserve">'Color: Pitch Gray' and 'Size 8.0 8.5 ... 13.0' selectors + Specifications bullet list</t>
  </si>
  <si>
    <t xml:space="preserve">Tree Footwear &gt; Mens &gt; Athletic &gt; Basketball (URLs) but no breadcrumbs on category or PDP</t>
  </si>
  <si>
    <t xml:space="preserve">Filters: Price bands, Brand, Size, Color, Activity, Shoe Width, 'Hide Out Of Stock Items'; Sort By Name/Price; 'Showing 24 of 285'</t>
  </si>
  <si>
    <t xml:space="preserve">Search box not visible in fetched header text</t>
  </si>
  <si>
    <t xml:space="preserve">PDP shows price + Color/Size pickers but no add-to-cart label captured; home 'Order Now, Ship to Home - Shop Now'</t>
  </si>
  <si>
    <t xml:space="preserve">Shipping page generic ('charges displayed in the check-out process'); returns specific: 60 days with receipt, tags attached</t>
  </si>
  <si>
    <t xml:space="preserve">/checkout.html: 'If you are not registered, you can proceed without creating an account'</t>
  </si>
  <si>
    <t xml:space="preserve">'Featured Labor Day Savings', 'Just In - View All New Arrivals', Digital Guides (Fall Fashion, Hunting, YETI), Value Vault, Flash Sale</t>
  </si>
  <si>
    <t xml:space="preserve">Best Price Guarantee ('refund 100% of the difference') in FAQ; no product reviews/ratings seen</t>
  </si>
  <si>
    <t xml:space="preserve">Corporate Office 5607 New King Drive, Suite #125 Troy, MI 48098 + contact form; store phones e.g. (717) 249-7667</t>
  </si>
  <si>
    <t xml:space="preserve">About Us ~250 words: 1937 Dunham's Bait &amp; Tackle in West Bloomfield MI; 260+ stores in 26 states</t>
  </si>
  <si>
    <t xml:space="preserve">privacy-policy.html (Dunham's Athleisure Corporation) + terms.html; no accessibility statement seen</t>
  </si>
  <si>
    <t xml:space="preserve">Only share intents (Facebook/Twitter/Pinterest) on PDP; no profile URLs in fetched footer</t>
  </si>
  <si>
    <t xml:space="preserve">'Skip to main content' (#content-main) link + product image alt text present</t>
  </si>
  <si>
    <t xml:space="preserve">No blog/news section found in nav, footer or site search results; only Weekly Ads and Digital Guides</t>
  </si>
  <si>
    <t xml:space="preserve">FAQ (Price Matching, Layaways, Returns, Firearms) + Digital Guides (Fall Fashion, Hunting, Archery) + Bat Warranty resource</t>
  </si>
  <si>
    <t xml:space="preserve">Locator (ZIP + city list) and store pages with address, phone, hours table (Carlisle PA: Mon-Sat 10-9, Sun 12-5)</t>
  </si>
  <si>
    <t xml:space="preserve">Canonical https://www.apparelwholesaledepot.com/products/…; whole store served over https</t>
  </si>
  <si>
    <t xml:space="preserve">Shopify robots.txt with Sitemap: https://www.apparelwholesaledepot.com/sitemap.xml; only admin/cart/checkout/account blocked</t>
  </si>
  <si>
    <t xml:space="preserve">Sitemap index → products (81 URLs), collections (33), pages (14), blogs (12)</t>
  </si>
  <si>
    <t xml:space="preserve">Home 'APPAREL WHOLESALE T-SHIRT HODDIES JOGGERS – …' (typo); product 'H1009 Blended T-Shirt | 60% Cotton 40% Polyester Unisex'</t>
  </si>
  <si>
    <t xml:space="preserve">Product pages specific ('Discover the H9002 Heavy Fleece Hoodie…'); none observed on homepage in two fetches</t>
  </si>
  <si>
    <t xml:space="preserve">Canonical on product and collection pages; none observed on homepage in two fetches</t>
  </si>
  <si>
    <t xml:space="preserve">Readable but messy handles: /products/copy-of-h1001-…, /products/products-h9002-…, 100-char collection slugs</t>
  </si>
  <si>
    <t xml:space="preserve">'H9002 Heavy Fleece Unisex Hoodie - Customizable Cotton/Poly Blend Hoodie'; 'H1009 Blended T-Shirt 60% Cotton 40% Polyester Unisex'</t>
  </si>
  <si>
    <t xml:space="preserve">H1009 ~200 words (preshrunk, side-seamed); H9002 ~120 words + spec list (12 oz/400 GSM, 60/40 blend)</t>
  </si>
  <si>
    <t xml:space="preserve">H1009: 8 images, H9002: 13; alt 'H9002 Heavy Fleece Unisex Hoodie - Customizable Cotton/Poly Blend Hoodie'</t>
  </si>
  <si>
    <t xml:space="preserve">$4.99 USD / $19.99 with 'Available Now!'; compare-at price renders as 'Save $-4.99' bug on H1009</t>
  </si>
  <si>
    <t xml:space="preserve">Color (8) and size (S-5XL) selectors + spec bullets (12 oz/400 GSM, fabric %, stitching)</t>
  </si>
  <si>
    <t xml:space="preserve">Breadcrumbs 'Home / All / product' point at All, not the category; 33 collections in a flat one-level nav</t>
  </si>
  <si>
    <t xml:space="preserve">Men's Blank Apparel: filters Availability + Price; sort Featured/Best Selling/price/A-Z/date; 12-48 per page</t>
  </si>
  <si>
    <t xml:space="preserve">/search?q=hoodie → 'Search: 54 results found for "hoodie"'</t>
  </si>
  <si>
    <t xml:space="preserve">'Add to Cart' on product pages; 'Quick Shop' on homepage product tiles</t>
  </si>
  <si>
    <t xml:space="preserve">Refund Policy: 72-hr inspection, RMA required, 25% restocking fee, no exchanges; no shipping policy (carriers/times)</t>
  </si>
  <si>
    <t xml:space="preserve">Cart → Shopify checkout; guest checkout unverifiable (/checkout blocked); wholesale accounts/pricing by phone only</t>
  </si>
  <si>
    <t xml:space="preserve">'Today's Hottest Deals – Shop Before They're Gone!' with Save65%/Save33% badges + HUDI Supreme, Youth, Women showcases</t>
  </si>
  <si>
    <t xml:space="preserve">No product reviews, store ratings, guarantees or trust badges on home or product pages</t>
  </si>
  <si>
    <t xml:space="preserve">Contact Us: 586-510-4026, apparelwholesaledepot@gmail.com, 25175 Thomas Dr., Warren, MI 48091, Mon-Fri 9-6, Sat 10-5</t>
  </si>
  <si>
    <t xml:space="preserve">/pages/about-us ~850 words (blank apparel wholesaler, Metro Detroit, partner factories in Bangladesh)</t>
  </si>
  <si>
    <t xml:space="preserve">/pages/privacy-policy, /pages/terms-conditions, /pages/refund-policy in footer; no accessibility statement</t>
  </si>
  <si>
    <t xml:space="preserve">Facebook, Instagram, Snapchat linked; TikTok link malformed ('https://ticktok.com@awd.apparel.whole')</t>
  </si>
  <si>
    <t xml:space="preserve">'Skip to Main Content' link + descriptive alt text on product images</t>
  </si>
  <si>
    <t xml:space="preserve">Blog exists (/blogs/news …); newest sitemap lastmod 2025-12-23 (HUDI Supreme Extreme Heavy) — over 90 days</t>
  </si>
  <si>
    <t xml:space="preserve">Guides: 'Choosing the Right Shirts for Different Printing Processes', 'Guide to Blank Apparel Customization'; no FAQ</t>
  </si>
  <si>
    <t xml:space="preserve">Contact page: Warren street address, hours, 'feel free to visit our physical location'</t>
  </si>
  <si>
    <t xml:space="preserve">Canonical https://www.madeindetroit.com/; all pages served over https</t>
  </si>
  <si>
    <t xml:space="preserve">Standard Shopify robots: blocks /admin, /cart, /checkout, /account, filter params; 'Sitemap: https://www.madeindetroit.com/sitemap.xml'</t>
  </si>
  <si>
    <t xml:space="preserve">sitemap.xml index -&gt; sitemap_products_1.xml, sitemap_collections_1.xml, sitemap_pages_1.xml, sitemap_blogs_1.xml</t>
  </si>
  <si>
    <t xml:space="preserve">Home 'Made In Detroit® | Detroit Clothing &amp; Apparel Since 1991'; PDP 'Made In Detroit Shifter Shirt | Detroit Muscle Car Tee'</t>
  </si>
  <si>
    <t xml:space="preserve">Home 'Detroit's original clothing brand since 1991. Shop... hoodies, jackets, hats &amp; gifts'; PDP 'The Detroit Shifter T-Shirt, our second'</t>
  </si>
  <si>
    <t xml:space="preserve">Canonical on homepage, /collections/mens and both PDPs</t>
  </si>
  <si>
    <t xml:space="preserve">/products/original-detroit-hoodie-1991, /collections/mens; a few SKU-stuffed slugs (/products/mj100-black-denim-mj101-mj102...)</t>
  </si>
  <si>
    <t xml:space="preserve">'MID Original Hoodie', 'Shifter Navy Shirt' use brand shorthand; PLP names like '4th and F It', 'Grit Black w/ Blue' omit product type</t>
  </si>
  <si>
    <t xml:space="preserve">Hoodie ~40-45 words ('The original Detroit design, crafted in a loft above Eastern Market...'); Shifter tee ~25 words</t>
  </si>
  <si>
    <t xml:space="preserve">6 and 4 gallery images; alt 'Made In Detroit black hoodie with Detroit logo', 'Detroit Shifter T-Shirt 2006 Made In Detroit logo'</t>
  </si>
  <si>
    <t xml:space="preserve">'$55.00 USD' / '$26.00 USD' with 'In stock' text on both PDPs; PLP shows 'Sold out' badges</t>
  </si>
  <si>
    <t xml:space="preserve">Size selector XS-5X/6X; size chart (body length, chest, sleeve); fabric '90% cotton, 10% polyester', '4.5-ounce, 100% ring spun cotton'</t>
  </si>
  <si>
    <t xml:space="preserve">Nav tree Men &gt; Shirts/Thermals/Outerwear/Polos/Tanks, Accessories &gt; Drinkware/Totes; no breadcrumbs on collection or PDP</t>
  </si>
  <si>
    <t xml:space="preserve">/collections/mens: 9 sort options + 'Load more' ('Showing 50 of 172'); no filter panel on collection (facets appear only on /search)</t>
  </si>
  <si>
    <t xml:space="preserve">/search?q=hoodie -&gt; 'Search: 397 results found' with Product type/Design/Color/Size/Price filters and sort</t>
  </si>
  <si>
    <t xml:space="preserve">'Add to cart' on PDPs; homepage collection tiles and product cards with 'From $26.00' pricing link to shop</t>
  </si>
  <si>
    <t xml:space="preserve">Shipping: free over $75 (48 states), dispatch within 2 days, UPS/USPS; Returns: 30 days, $5 exchange fee, 20% restocking on free-ship</t>
  </si>
  <si>
    <t xml:space="preserve">Shopify checkout (Shop Pay, PayPal, Apple Pay icons) but guest checkout not observable from public pages</t>
  </si>
  <si>
    <t xml:space="preserve">Homepage: /collections/football, 'The OGs' /collections/the-ogs, NEW Boulevard of Broken Dreams, '42% OFF' /collections/opening-day</t>
  </si>
  <si>
    <t xml:space="preserve">No review widget or ratings on PDPs/cards; no guarantee or secure badge beyond payment-method icons</t>
  </si>
  <si>
    <t xml:space="preserve">(877) 658-1321 + 248.625.3797, '5799 Terex, Clarkston, MI 48346' (Returns/Privacy), contact@madeindetroit.com, contact form</t>
  </si>
  <si>
    <t xml:space="preserve">/pages/our-story ~400-500 words: 'It all started in 1991...', 'Bought out of bankruptcy... refueled by Kid Rock and his childhood friend'</t>
  </si>
  <si>
    <t xml:space="preserve">/pages/privacy ('Bobby Moscow, LLC (we) owns and operates...'), /pages/terms-of-use, /pages/mobile-terms-of-service; no accessibility page</t>
  </si>
  <si>
    <t xml:space="preserve">No instagram/facebook/tiktok/youtube URLs in fetched header/footer of homepage, /pages/contact-us, /pages/terms-of-use</t>
  </si>
  <si>
    <t xml:space="preserve">'Skip to content' (#MainContent); PDP images carry descriptive alt text</t>
  </si>
  <si>
    <t xml:space="preserve">/blogs/news-1 exists (36 posts) but newest lastmod 2016-10-17 ('grillin-the-most'); index lastmod 2021-01-05</t>
  </si>
  <si>
    <t xml:space="preserve">No FAQ page (/pages/customer-service is a payment/shipping policy page); no guides beyond in-PDP size chart</t>
  </si>
  <si>
    <t xml:space="preserve">/pages/retailers is a Google Map iframe only; no text list of store addresses or hours</t>
  </si>
  <si>
    <t xml:space="preserve">Canonical https://www.englishgardens.com/; all pages https</t>
  </si>
  <si>
    <t xml:space="preserve">Sitemap: https://www.englishgardens.com/sitemap_index.xml; disallows only wc-logs, woocommerce_uploads, ?add-to-cart=, wp-admin</t>
  </si>
  <si>
    <t xml:space="preserve">Index lists 56 sitemaps (47 pa_* attribute, events, locations) but product-, product_cat-, page- and post-sitemap.xml all 404</t>
  </si>
  <si>
    <t xml:space="preserve">Home 'English Gardens Garden Center | Plants, Landscaping &amp; Decor'; PDP 'Green Giant Arborvitae #3 gallon pot - English Gardens'</t>
  </si>
  <si>
    <t xml:space="preserve">Home 'English Gardens offers premium plants, garden supplies...'; PDP 'A stately looking upright evergreen that grows uniformly...'</t>
  </si>
  <si>
    <t xml:space="preserve">Canonical on homepage; none reported on either sampled PDP</t>
  </si>
  <si>
    <t xml:space="preserve">Readable hyphenated slugs (/green-giant-arborvitae-3-gallon-pot/); note some PDPs use /product/ prefix, others root</t>
  </si>
  <si>
    <t xml:space="preserve">'Green Giant Arborvitae #3 gallon pot', 'Dark Red Velvet Poinsettia Clip', 'Christmas Red Poinsettia, Extra Large'</t>
  </si>
  <si>
    <t xml:space="preserve">Arborvitae description ~28 words; poinsettia clip ~25 words - both under 50</t>
  </si>
  <si>
    <t xml:space="preserve">One image per PDP; arborvitae image (H135-12-13.jpg) has no alt text</t>
  </si>
  <si>
    <t xml:space="preserve">Arborvitae $62.99 (was $89.99), '6 is instock', per-store In Stock; poinsettia: no price, 'Check Store for Availability'</t>
  </si>
  <si>
    <t xml:space="preserve">SKU 69093SCN + pot size only; poinsettia weight 12 lbs / 1x1x1 in placeholder; store dropdown, no size/variant selector</t>
  </si>
  <si>
    <t xml:space="preserve">Breadcrumbs 'Home / Garden Plants &amp; Flowers / Evergreens / ...' and 'Home / Christmas / Christmas Silks / Flowers &amp; Stems'</t>
  </si>
  <si>
    <t xml:space="preserve">Sort dropdown (popularity, rating, latest, price, stock, SKU) + 'Showing all 51 results'; no filters</t>
  </si>
  <si>
    <t xml:space="preserve">Search box in header; results page not verified</t>
  </si>
  <si>
    <t xml:space="preserve">'Add to cart' on arborvitae PDP; poinsettia PDP has none ('Check Store for Availability', call 800-335-4769); home 'Shop Now'</t>
  </si>
  <si>
    <t xml:space="preserve">Shipping: 48h processing, UPS next-day pickup, USPS 10-14 days; Returns: 30 days w/ receipt, 1-yr tree/shrub warranty, 20% restock</t>
  </si>
  <si>
    <t xml:space="preserve">Checkout not observed (WooCommerce)</t>
  </si>
  <si>
    <t xml:space="preserve">'What's On Sale' (40% off shrubs, 30% off perennials, BOGO containers), Fall Harvest, Christmas Store, New Products for 2025</t>
  </si>
  <si>
    <t xml:space="preserve">Plant warranty (1 yr trees/shrubs), 'award-winning landscape company', testimonials page; no product ratings shown</t>
  </si>
  <si>
    <t xml:space="preserve">800-335-4769, six store addresses, corporate office 22650 Ford Rd, Dearborn Heights MI 48127, contact form</t>
  </si>
  <si>
    <t xml:space="preserve">About page ~2,500 words: family-owned Michigan business since 1954, six garden centers, four floral shops</t>
  </si>
  <si>
    <t xml:space="preserve">Privacy policy present (modified 2020-04-09); no Terms &amp; Conditions or accessibility statement found</t>
  </si>
  <si>
    <t xml:space="preserve">No facebook/instagram profile URLs captured in fetched HTML on homepage, FAQ or contact page</t>
  </si>
  <si>
    <t xml:space="preserve">'Skip to content' link present; product image alt missing; no accessibility statement</t>
  </si>
  <si>
    <t xml:space="preserve">Good Advice blog: 'Advice for Success: Planting Spring-Flowering Bulbs' dated August 25, 2026</t>
  </si>
  <si>
    <t xml:space="preserve">FAQ page (24 questions) + how-to guides, monthly gardening tips, Plant Diagnosis and videos</t>
  </si>
  <si>
    <t xml:space="preserve">/locations: six stores with address, phone and hours (Clinton Twp 'Mon-Sat: 9am-7pm; Sun: 9am-6pm') + map</t>
  </si>
  <si>
    <t xml:space="preserve">All fetched pages https; Terms of Use cite www.petsuppliesplus.com</t>
  </si>
  <si>
    <t xml:space="preserve">/robots.txt returned 403 to WebFetch and errored on rendered fetch</t>
  </si>
  <si>
    <t xml:space="preserve">/sitemap.xml returned 403 / fetch error</t>
  </si>
  <si>
    <t xml:space="preserve">Homepage title just 'Home | Pet Supplies Plus'; PDP title 'Blue Buffalo Life Protection Formula Natural Puppy Dry Dog Food, ... 15 Pounds'</t>
  </si>
  <si>
    <t xml:space="preserve">Meta descriptions not observable (raw HTML blocked with 403)</t>
  </si>
  <si>
    <t xml:space="preserve">Canonical not observable (raw HTML blocked)</t>
  </si>
  <si>
    <t xml:space="preserve">/categories/dog/food/dry/blue-buffalo-...-brown-rice/3703 - readable slug + numeric ID; variants via ?sku= query</t>
  </si>
  <si>
    <t xml:space="preserve">'Blue Buffalo Life Protection Formula Natural Puppy Dry Dog Food, Chicken and Brown Rice, 15 Pounds' (brand/line/flavor/size)</t>
  </si>
  <si>
    <t xml:space="preserve">Blue Buffalo PDP: 5 detailed bullets + ingredients (well over 50 words); second PDP unfetchable (crawl errors)</t>
  </si>
  <si>
    <t xml:space="preserve">9 gallery images on PDP, each with alt = product name</t>
  </si>
  <si>
    <t xml:space="preserve">PDP shows placeholders '$List Price' and 'Availability: loader' - price/stock load client-side per store</t>
  </si>
  <si>
    <t xml:space="preserve">'Ingredients &amp; Composition' tab: full ingredient list + Guaranteed Analysis (Crude Protein 27%, Fat 16%); '15LB' size badge</t>
  </si>
  <si>
    <t xml:space="preserve">URL tree Dog &gt; Food &gt; Premium &gt; Dry; breadcrumbs not seen on PDP</t>
  </si>
  <si>
    <t xml:space="preserve">Category pages (on-sale, Dog/Clothing-Accessories) rendered no product grid or failed to load</t>
  </si>
  <si>
    <t xml:space="preserve">/search results page exists ('Search | Pet Supplies Plus'); search box not seen in rendered nav</t>
  </si>
  <si>
    <t xml:space="preserve">PDP 'Add To Cart' + 'Add To Favorites'; home 'Shop BOGO Deals', 'Save More with Online Ordering!', 'Start New Order'</t>
  </si>
  <si>
    <t xml:space="preserve">Returns: 30-day refund with receipt, animals 14-day guarantee; no shipping policy page found (only pickup/delivery/Autoship labels)</t>
  </si>
  <si>
    <t xml:space="preserve">Checkout not observed</t>
  </si>
  <si>
    <t xml:space="preserve">'Shop BOGO Deals by Category', 'Hot Deals', 'New &amp; Trending', 'Shop Deals by Pet', Featured Brands (Fromm, Open Farm), Today's Deals</t>
  </si>
  <si>
    <t xml:space="preserve">'best prices, best selection, best service. Guaranteed!' + 2016 Pet Retailer of the Year; PDP Reviews tab but no ratings seen</t>
  </si>
  <si>
    <t xml:space="preserve">248-615-0039 + 'Email Us' form; Terms: PSP Group, LLC, 17410 College Pkwy, Livonia MI 48152</t>
  </si>
  <si>
    <t xml:space="preserve">About Us page is brief: links to Services, Careers, Franchising, Leadership; award mention only</t>
  </si>
  <si>
    <t xml:space="preserve">Privacy Policy (updated March 17, 2026) + Terms of Use (updated June 24, 2024); no accessibility statement seen</t>
  </si>
  <si>
    <t xml:space="preserve">No social profile URLs captured in rendered text</t>
  </si>
  <si>
    <t xml:space="preserve">'Skip to main' link + product gallery images carry alt text</t>
  </si>
  <si>
    <t xml:space="preserve">Learning Center articles (How to Train Using Dog Treats, Flea &amp; Tick Prevention) but no dates shown</t>
  </si>
  <si>
    <t xml:space="preserve">FAQ topics (Curbside Pickup, Delivery, Autoship, Grooming, Pharmacy) + Learning Center how-tos</t>
  </si>
  <si>
    <t xml:space="preserve">Header shows Livonia store: 29493 7 Mile Road, 248-615-0039, 'OPEN today from 10:00 AM - 06:00 PM'; /store/mi/... pages</t>
  </si>
  <si>
    <t xml:space="preserve">All pages https; robots.txt Sitemap line uses https</t>
  </si>
  <si>
    <t xml:space="preserve">Sitemap: https://www.plummarket.com/wp-sitemap.xml; disallows /store/checkout/, /store/catalogsearch/, product_list_order params</t>
  </si>
  <si>
    <t xml:space="preserve">wp-sitemap.xml served a 'Client Challenge' page; /store/sitemap.xml not found; no Magento sitemap listed in robots.txt</t>
  </si>
  <si>
    <t xml:space="preserve">Home title 'Live Well, With Taste | Plum Market - Plum Market' (tagline, brand duplicated); PDP '2022 Frey Vineyards Cabernet Sauvignon...'</t>
  </si>
  <si>
    <t xml:space="preserve">Meta descriptions not observable (raw HTML gated by bot challenge)</t>
  </si>
  <si>
    <t xml:space="preserve">Canonical not observable</t>
  </si>
  <si>
    <t xml:space="preserve">/store/2022-frey-vineyards-cabernet-sauvignon-california.html and /store/wine/gifts.html - readable, hyphenated</t>
  </si>
  <si>
    <t xml:space="preserve">'2022 Frey Vineyards Cabernet Sauvignon California', 'Moët &amp; Chandon Ice Impérial Rosé Champagne' (vintage/producer/wine/region)</t>
  </si>
  <si>
    <t xml:space="preserve">Winemaker Notes: Frey 47 words, Moët ~150 words</t>
  </si>
  <si>
    <t xml:space="preserve">Single 'main product photo' per PDP (gallery controls present); alt text not verified</t>
  </si>
  <si>
    <t xml:space="preserve">'Availability: In stock'; 'was $22.00 Special Price $17.99 Save $4.01 (18%)'; SKU 721512000745-1</t>
  </si>
  <si>
    <t xml:space="preserve">'More Information' table: Country, Region, Vintage, Winery, Grape Varietals, Size, Natural Wine</t>
  </si>
  <si>
    <t xml:space="preserve">Categories (Wine &gt; Gifts, Natural/Minimal Intervention, Last Calls) but no breadcrumbs observed on PDP or category</t>
  </si>
  <si>
    <t xml:space="preserve">Sort By position/Name/Price, 12-60 per page, 611 pages of 7,323 items; no layered filters (country/varietal/price)</t>
  </si>
  <si>
    <t xml:space="preserve">Magento catalogsearch path present in robots.txt; search box not observed in rendered text</t>
  </si>
  <si>
    <t xml:space="preserve">'Add to Cart' on PDPs and every category card; home 'Ship Wine To Me', 'Drive Up &amp; Delivery'</t>
  </si>
  <si>
    <t xml:space="preserve">/store/shipping-returns behind bot challenge; only saw $18.00 'Wine Shipment' product and 'Free Shipping Selection' category</t>
  </si>
  <si>
    <t xml:space="preserve">Checkout not observed (robots blocks /store/checkout/); 'Sign In' link only</t>
  </si>
  <si>
    <t xml:space="preserve">BOGOs &amp; Sales Flyer, Featured Wines for Nationwide Shipping, 'Last Calls - Save up to 50% off', Madeline Triffon M.S. Selections</t>
  </si>
  <si>
    <t xml:space="preserve">Card accolades ('#18 Wine Spectator Top 100 of 2025'); no product reviews/ratings or store guarantee seen</t>
  </si>
  <si>
    <t xml:space="preserve">Select Your Store lists 6 addresses (375 North Maple Road, Ann Arbor MI 48103 ...); contact page gated, no phone seen</t>
  </si>
  <si>
    <t xml:space="preserve">About/story page not reachable (bot challenge); homepage has service blurbs only</t>
  </si>
  <si>
    <t xml:space="preserve">Privacy/terms links not observable; cookie-consent banner lists cookie categories only</t>
  </si>
  <si>
    <t xml:space="preserve">Store footer links: Facebook, Twitter, Instagram, Pinterest</t>
  </si>
  <si>
    <t xml:space="preserve">'Skip to Content' link on store pages; image alt not verified; no accessibility statement seen</t>
  </si>
  <si>
    <t xml:space="preserve">Blog not observable (WP pages and sitemap gated)</t>
  </si>
  <si>
    <t xml:space="preserve">FAQ/guides not observable</t>
  </si>
  <si>
    <t xml:space="preserve">Select Your Store: bare list of 6 addresses (4 MI, 2 FL), no hours or phones; /locations/ gated</t>
  </si>
  <si>
    <t xml:space="preserve">All pages fetched over https://macombwholesale.net/ via the Exa fallback; no http downgrade seen</t>
  </si>
  <si>
    <t xml:space="preserve">robots.txt allows Googlebot/Bingbot/etc. (Crawl-delay 10) but 'User-agent: * Disallow: /'; no Sitemap: line</t>
  </si>
  <si>
    <t xml:space="preserve">/sitemap.xml not found (CRAWL_NOT_FOUND); robots.txt names no sitemap</t>
  </si>
  <si>
    <t xml:space="preserve">Home 'Macomb Wholesale - Metro Detroit's Packaging, Janitorial &amp; Safety Supplies'; product titles unique (SKU + name)</t>
  </si>
  <si>
    <t xml:space="preserve">Meta descriptions not visible in text-only fallback (WebFetch blocked by robots.txt)</t>
  </si>
  <si>
    <t xml:space="preserve">Canonical tags not visible in text-only fallback</t>
  </si>
  <si>
    <t xml:space="preserve">/shadow-black-nitrile-exam-gloves-powder-free.html, /safety/gloves.html — readable Magento URL keys</t>
  </si>
  <si>
    <t xml:space="preserve">'VGuard Blue Nitrile Gloves, Powder-Free'; 'AMMEX Nitrile Exam Gloves, Powder-Free, 6 mil, X-Large, Black, 100/Box'</t>
  </si>
  <si>
    <t xml:space="preserve">Black Widow ~35 words with typos ('Recommened', 'Cosmotolgy'); VGuard ~20 words + 7 bullets; both &lt;50 words</t>
  </si>
  <si>
    <t xml:space="preserve">Product images and alt text not included in text-only fallback output</t>
  </si>
  <si>
    <t xml:space="preserve">Price ('Special Price $6.99 Regular Price $7.99') + 'Available, Call First' + 'Product Availability: Fraser Warehouse'</t>
  </si>
  <si>
    <t xml:space="preserve">Specs only as text bullets (5 mil, powder free); sizes are separate SKUs; attribute table holds SKU/availability only</t>
  </si>
  <si>
    <t xml:space="preserve">3-level tree (/safety/gloves/disposable-gloves.html, /catalog/janitorial/…); breadcrumbs not seen in fetched text</t>
  </si>
  <si>
    <t xml:space="preserve">Sort By Position/Product Name/SKU/Price/Length/Width; layered filters in URL ?price=70-80&amp;product_availability=31</t>
  </si>
  <si>
    <t xml:space="preserve">/catalogsearch/result/?q=gloves returns 'Search results for: gloves' with 20+ products</t>
  </si>
  <si>
    <t xml:space="preserve">'Add to Cart' + 'Quick List' on every product, category and search listing; nav 'Wholesale Accounts' + phone</t>
  </si>
  <si>
    <t xml:space="preserve">Delivery Policy: zones $150/$250/$500 minimum or $15/$25/$50 fee, 1-2 day delivery, UPS nationwide; no returns page</t>
  </si>
  <si>
    <t xml:space="preserve">Wholesale Accounts: 'free wholesale accounts', credit card at checkout, Net terms via credit app; /customer/account/create/</t>
  </si>
  <si>
    <t xml:space="preserve">Homepage merchandising not visible in text-only fallback (nav + phone only); listings show -13%/'New' badges</t>
  </si>
  <si>
    <t xml:space="preserve">5 named customer testimonials on About Us; product review module empty ('Be the first to review'); no badges</t>
  </si>
  <si>
    <t xml:space="preserve">Phone (586) 415-7400 8am-4pm M-F + Contact Us form; no street address seen ('off Hall Rd east of Romeo Plank')</t>
  </si>
  <si>
    <t xml:space="preserve">About Us: 30+ years, basement start, 18,000 sq ft Clinton Twp facility, 2nd generation, plus testimonials</t>
  </si>
  <si>
    <t xml:space="preserve">Privacy and Cookie Policy is Magento default text (cites 'Data Protection Act 1998'); no Terms page found</t>
  </si>
  <si>
    <t xml:space="preserve">Social links not visible in text-only fallback</t>
  </si>
  <si>
    <t xml:space="preserve">Skip link and image alt text not visible in text-only fallback</t>
  </si>
  <si>
    <t xml:space="preserve">No blog/news in nav (About Us, Delivery &amp; Minimums, MyPoints Rewards, Wholesale Accounts)</t>
  </si>
  <si>
    <t xml:space="preserve">Delivery Policy is written as Q&amp;A (How? Who? Where? When? What if?); no product guides</t>
  </si>
  <si>
    <t xml:space="preserve">Delivery zones A/B/C (15/25/50 mi) + zone map, homepage city list (Fraser, Warren, Roseville…), hours 8am-4pm M-F</t>
  </si>
  <si>
    <t xml:space="preserve">Canonical https://liparifoods.com/; every page fetched over https</t>
  </si>
  <si>
    <t xml:space="preserve">robots.txt: only Disallow: /wp-admin/ plus Sitemap: https://liparifoods.com/sitemap.xml</t>
  </si>
  <si>
    <t xml:space="preserve">sitemap.xml lists 89 URLs incl. /lip-product-range/dairy/, /brand/wholey/ and news posts</t>
  </si>
  <si>
    <t xml:space="preserve">Home title 'Lipari Foods | What's Next in Global Flavor' is tagline-only (no distributor/MI); brand titles unique</t>
  </si>
  <si>
    <t xml:space="preserve">Home 'From trusted deli and cheese to prepared…'; Wholey 'A century of seafood, done right…' both specific</t>
  </si>
  <si>
    <t xml:space="preserve">Canonical on homepage and /brand/wholey/ (also /product-range/, /connect/)</t>
  </si>
  <si>
    <t xml:space="preserve">/product-range/, /brand/wholey/, hyphenated post slugs; no IDs or query strings</t>
  </si>
  <si>
    <t xml:space="preserve">Brand pages list names only ('Garlic &amp; Butter Shrimp Rice Bowl', 'Angel Food Cake'); no size/pack format</t>
  </si>
  <si>
    <t xml:space="preserve">Brand copy ~60-70 words (Wholey, Sabrina's); category blurbs 1-2 sentences; no per-product descriptions</t>
  </si>
  <si>
    <t xml:space="preserve">One image per product; alts are filenames ('ob-product-sabrinas-cake-angelfood'); category images lack alt</t>
  </si>
  <si>
    <t xml:space="preserve">No prices or 'login for pricing' text; catalog is a login-gated Cut+Dry app; Become a Customer form only</t>
  </si>
  <si>
    <t xml:space="preserve">No pack sizes, specs or variants on brand or Product Range pages</t>
  </si>
  <si>
    <t xml:space="preserve">10 categories + brand pages, but sitemap category URLs resolve to /product-range/; no breadcrumbs</t>
  </si>
  <si>
    <t xml:space="preserve">No filters or sort on Product Range; brand pages show 4 fixed products</t>
  </si>
  <si>
    <t xml:space="preserve">No site search box in header or footer (News &amp; Trends has post-type filters only)</t>
  </si>
  <si>
    <t xml:space="preserve">'Become a Customer' in header/footer; 'Carry Lipari', 'Request Full List', 'Book a Demo' on Product Range</t>
  </si>
  <si>
    <t xml:space="preserve">No shipping, delivery or returns policy in footer (Privacy Policy and Terms of Use only)</t>
  </si>
  <si>
    <t xml:space="preserve">/become-a-customer/: form, 'A regional Lipari expert will reach out… next steps'; Compass/Direct Net logins</t>
  </si>
  <si>
    <t xml:space="preserve">Homepage links 10 category tiles and brands; no new/seasonal/featured product merchandising</t>
  </si>
  <si>
    <t xml:space="preserve">Award only as a news post ('Named 2026 WGA Vendor Of The Year'); no reviews, guarantees or badges</t>
  </si>
  <si>
    <t xml:space="preserve">Connect: 586-447-3500, info@liparifoods.com, 26661 Bunert Rd., Warren, MI 48089 + 'Send a Message' form</t>
  </si>
  <si>
    <t xml:space="preserve">/our-story/ ~650 words: founded 1938 by Jim Lipari, 65 depots, 32+ states</t>
  </si>
  <si>
    <t xml:space="preserve">Footer: /privacy-policy/ and /terms-of-use/; no accessibility statement</t>
  </si>
  <si>
    <t xml:space="preserve">LinkedIn, Facebook, YouTube linked in footer</t>
  </si>
  <si>
    <t xml:space="preserve">'Skip to content' (#content) present; product alts are filenames, category images have no alt</t>
  </si>
  <si>
    <t xml:space="preserve">WGA Vendor of the Year post dated August 20, 2026 (39 days old); listing page shows no dates</t>
  </si>
  <si>
    <t xml:space="preserve">No FAQ; Retail Highlights trend articles act as guides ('Global Foods Are Reshaping the Perimeter…')</t>
  </si>
  <si>
    <t xml:space="preserve">Only Warren HQ address on Connect; Our Story cites 65 depots/32+ states but no list, map or hours</t>
  </si>
  <si>
    <t xml:space="preserve">https everywhere; robots.txt declares 'Host: https://www.belletire.com'</t>
  </si>
  <si>
    <t xml:space="preserve">Allow: /; only confirmation/error pages disallowed; Sitemap: https://www.belletire.com/sitemap-index.xml (+ globalsiteseo index)</t>
  </si>
  <si>
    <t xml:space="preserve">Index -&gt; sitemap-0..10.xml; sitemap-0 has FAQ, buying guides, used-tires; sitemap-5 has /tire-finder/2009/gmc/acadia pages</t>
  </si>
  <si>
    <t xml:space="preserve">Rendered home title 'Belle Tire | Tires, Wheels &amp; Auto Service' but served HTML has no &lt;title&gt; on home, PDP, /faq, /stores</t>
  </si>
  <si>
    <t xml:space="preserve">No meta description in served HTML on homepage, PDP (/goodyear/assurance-maxlife/214191), /faq or /stores</t>
  </si>
  <si>
    <t xml:space="preserve">No canonical tag in served HTML on homepage or PDP</t>
  </si>
  <si>
    <t xml:space="preserve">/tires-and-wheels/tire-brands/goodyear/assurance-maxlife/214191 - readable path with numeric ID appended</t>
  </si>
  <si>
    <t xml:space="preserve">Indexed PDP titles 'Goodyear - Assurance Maxlife - 215/50R17 95V XL', 'Goodyear - Assurance All Season - 205/70R15 96T'</t>
  </si>
  <si>
    <t xml:space="preserve">PDP body not fetchable (empty client-rendered shell; Cloudflare challenge on rendered fetch)</t>
  </si>
  <si>
    <t xml:space="preserve">PDP images not fetchable</t>
  </si>
  <si>
    <t xml:space="preserve">No PDP price/availability observable; homepage shows offers only ('four Pegasus tires for $195')</t>
  </si>
  <si>
    <t xml:space="preserve">PDP specs/size selectors not fetchable (/goodyear/sizes/65088 URLs suggest size pages exist)</t>
  </si>
  <si>
    <t xml:space="preserve">Path tree Tires &amp; Wheels &gt; Tire Brands &gt; Goodyear &gt; Assurance Maxlife; breadcrumbs not observed</t>
  </si>
  <si>
    <t xml:space="preserve">Brand/category listing not fetchable (empty shell)</t>
  </si>
  <si>
    <t xml:space="preserve">Tire Finder by vehicle (/tire-finder), by size (/tire-size) and Wheel Finder; results page not observed</t>
  </si>
  <si>
    <t xml:space="preserve">Homepage 'Shop Tires' / 'Find Tires' and 'Schedule Appointment' CTAs; PDP CTA not observable</t>
  </si>
  <si>
    <t xml:space="preserve">No shipping/returns page found; /faq and Tire Protection Plan page not fetchable</t>
  </si>
  <si>
    <t xml:space="preserve">Checkout not observable</t>
  </si>
  <si>
    <t xml:space="preserve">Home: Michelin $80 back, Goodyear up to $100, Pegasus 4 for $195 with expiry dates; 'View All Current Deals' (/sale-deals)</t>
  </si>
  <si>
    <t xml:space="preserve">'We'll beat any competitor's price', Free Lifetime Maintenance, price-match page; no reviews/ratings seen</t>
  </si>
  <si>
    <t xml:space="preserve">Home: 25800 Northwestern Hwy Floor 10, Southfield MI 48075, 888-GO-BELLE (888-462-3553); contact-us page; privacy@belletire.com</t>
  </si>
  <si>
    <t xml:space="preserve">Home 'A Century of Keeping You Moving' (~80 words: since 1922, Detroit shop to 185 locations); /our-company returns 404</t>
  </si>
  <si>
    <t xml:space="preserve">Privacy Policy (effective Jan 1, 2026); Terms of Use cited but /our-company/terms-of-use 404; 'Accessibility &amp; Cookie Settings' link</t>
  </si>
  <si>
    <t xml:space="preserve">facebook.com/BelleTire/ and youtube.com/user/BelleTire in footer</t>
  </si>
  <si>
    <t xml:space="preserve">Image alt seen ('Goodyear tires logo - current tire deal'); no skip link found; accessibility settings link only</t>
  </si>
  <si>
    <t xml:space="preserve">Buying-guide articles exist (chevy-silverado-tires-wheels-buying-guide) but no dates visible; no blog index</t>
  </si>
  <si>
    <t xml:space="preserve">/faq linked in footer + vehicle buying guides (Chevy Silverado, Dodge Ram tires &amp; wheels)</t>
  </si>
  <si>
    <t xml:space="preserve">Store Locator (/stores) with 185 locations claimed; addresses/hours not visible (client-rendered)</t>
  </si>
  <si>
    <t xml:space="preserve">All pages served at https://www.germack.com/ (final URL https)</t>
  </si>
  <si>
    <t xml:space="preserve">/robots.txt returns the HTML 404 page 'Page Not Found!' - no robots file exists</t>
  </si>
  <si>
    <t xml:space="preserve">/sitemap.xml flat, ~350 URLs incl. /shop,nuts and product URLs; but every lastmod is 2017-12-05</t>
  </si>
  <si>
    <t xml:space="preserve">Every page &lt;title&gt; is 'Germack Pistachio' - homepage, /shop,nuts and both product pages identical</t>
  </si>
  <si>
    <t xml:space="preserve">Home has a specific desc; Dark Choc Almonds PDP has one; Pistachios 8oz PDP has none; category copies home desc</t>
  </si>
  <si>
    <t xml:space="preserve">No canonical seen on homepage, /shop,nuts, or either product page</t>
  </si>
  <si>
    <t xml:space="preserve">Comma-separated paths with numeric IDs: /shop,dark-chocolate-almonds-12oz-958998, /pages,refund-policy</t>
  </si>
  <si>
    <t xml:space="preserve">'Pistachios California Roasted and Salted 8oz', 'Dark Chocolate Almonds 12oz' - type + size, consistent</t>
  </si>
  <si>
    <t xml:space="preserve">Pistachios 8oz ~80 words; Dark Choc Almonds ~95 words incl. allergen/nutrition notes</t>
  </si>
  <si>
    <t xml:space="preserve">3-4 images per PDP but gallery alts are filenames: 'Artboard 2', 'dkchocalmonds', 'dkchoal3'</t>
  </si>
  <si>
    <t xml:space="preserve">Prices shown ($10.79, $14.99); no in-stock/out-of-stock text on PDP or category</t>
  </si>
  <si>
    <t xml:space="preserve">No variant selectors (sizes are separate SKUs); nutrition only as text 'Gluten Free, 6g Protein per Serving'</t>
  </si>
  <si>
    <t xml:space="preserve">Nav tree Order Here &gt; Nuts/Coffee/Pantry/Gifts; no breadcrumbs on /shop,nuts or PDPs</t>
  </si>
  <si>
    <t xml:space="preserve">/shop,nuts has only a 'Search by product name' box - no filters, sort, or pagination</t>
  </si>
  <si>
    <t xml:space="preserve">'Product search' box in header; results page not verified</t>
  </si>
  <si>
    <t xml:space="preserve">'ADD TO CART' on PDP; 'BUY NOW' on homepage best sellers</t>
  </si>
  <si>
    <t xml:space="preserve">Refund policy has specifics (10-day full refund, then store credit) but no shipping rates/times anywhere</t>
  </si>
  <si>
    <t xml:space="preserve">'CHECKOUT' link seen; guest vs. account checkout not observable from fetched pages</t>
  </si>
  <si>
    <t xml:space="preserve">Homepage 'OUR BEST SELLERS' (4 products w/ BUY NOW), 'TODAY'S SPECIALS', 'GIFTS' links</t>
  </si>
  <si>
    <t xml:space="preserve">QVC award badge 'Winner 8th time in 9 years!'; no product or store reviews</t>
  </si>
  <si>
    <t xml:space="preserve">313-784-9484; 2509 Russell St, Detroit, MI 48207; /contact form (Name, Email, Phone, Subject, message)</t>
  </si>
  <si>
    <t xml:space="preserve">/pages,the-germack-story ~1,100 words, 1912 Ellis Island origin story</t>
  </si>
  <si>
    <t xml:space="preserve">Privacy Policy linked; no Terms page; has an 'ACCESSIBILITY STATEMENT' section (bonus)</t>
  </si>
  <si>
    <t xml:space="preserve">Facebook, Twitter, Instagram linked in footer</t>
  </si>
  <si>
    <t xml:space="preserve">No skip link; main PDP image alt OK but gallery alts are filenames; accessibility statement present</t>
  </si>
  <si>
    <t xml:space="preserve">/pages,blog lists posts ('Holiday Catalog 2026', 'Pecans - good to know') but none are dated</t>
  </si>
  <si>
    <t xml:space="preserve">Blog has recipes and a 'Roasting at home' how-to; no FAQ</t>
  </si>
  <si>
    <t xml:space="preserve">/pages,store-locator zip/city search + own retail address &amp; hours 'Monday-Saturday: 8.00AM - 3.00PM'</t>
  </si>
  <si>
    <t xml:space="preserve">https on faygo.com and faygo.nbcstorefront.com</t>
  </si>
  <si>
    <t xml:space="preserve">faygo.com robots: 'Sitemap: https://www.faygo.com/sitemap_index.xml'; shop robots.txt is blank, shop /sitemap.xml 404</t>
  </si>
  <si>
    <t xml:space="preserve">sitemap_index.xml (Yoast) has only page-sitemap.xml; the shop has no sitemap</t>
  </si>
  <si>
    <t xml:space="preserve">Home title 'Homepage | Faygo Inc'; shop 'Faygo Pop Shop'; PDP title just 'Case of Faygo'</t>
  </si>
  <si>
    <t xml:space="preserve">No meta description on faygo.com home, /flavors/, shop home or PDP (og:description only 'Case of Faygo')</t>
  </si>
  <si>
    <t xml:space="preserve">Canonical https://www.faygo.com/ and https://faygo.nbcstorefront.com/case-of-faygo.html</t>
  </si>
  <si>
    <t xml:space="preserve">/flavors/, /case-of-faygo.html - readable; note duplicate path /home/case-of-faygo.html</t>
  </si>
  <si>
    <t xml:space="preserve">Single SKU titled 'Case of Faygo' - flavor and size only via dropdowns</t>
  </si>
  <si>
    <t xml:space="preserve">PDP description is the name repeated plus 'Products may take 1-2 weeks to ship.'</t>
  </si>
  <si>
    <t xml:space="preserve">One PDP image, alt 'main product photo'; faygo.com flavor images have no alt</t>
  </si>
  <si>
    <t xml:space="preserve">'As low as $8.00' + 'Availability: In stock' (plus an unrendered 'Only %1 left' placeholder)</t>
  </si>
  <si>
    <t xml:space="preserve">Flavor and Size dropdowns ('Choose an Option...') on PDP</t>
  </si>
  <si>
    <t xml:space="preserve">Shop has one 'Home' category with 1 item; no breadcrumbs</t>
  </si>
  <si>
    <t xml:space="preserve">Magento toolbar 'Sort By Position/Product Name/Price' + Filter (Color/Size) on a 1-item listing</t>
  </si>
  <si>
    <t xml:space="preserve">/catalogsearch/result/?q=faygo works ('Search results for: faygo', 1 item); no search box seen in header text</t>
  </si>
  <si>
    <t xml:space="preserve">'Buy Now' on faygo.com flavors/home -&gt; shop; 'Add to Cart' on PDP</t>
  </si>
  <si>
    <t xml:space="preserve">Store Policies: beverages ship in 4-6 weeks, 30-day garment returns, beverages final sale; no shipping rates; not linked on PDP</t>
  </si>
  <si>
    <t xml:space="preserve">Checkout not observable from fetched pages</t>
  </si>
  <si>
    <t xml:space="preserve">faygo.com home shows 10+ flavors but all link to the same single product page</t>
  </si>
  <si>
    <t xml:space="preserve">No reviews, ratings, guarantees or trust badges seen</t>
  </si>
  <si>
    <t xml:space="preserve">Contact form (/contact-us/); phone 313-925-1600 only on Store Policies; no street address ('Made in Detroit, Michigan')</t>
  </si>
  <si>
    <t xml:space="preserve">/history/ 1907-to-today timeline (~450 words, Feigenson brothers) + /corporate/</t>
  </si>
  <si>
    <t xml:space="preserve">Terms (/terms-of-use/) + Privacy Policy (/privacy-policy/) in footer</t>
  </si>
  <si>
    <t xml:space="preserve">Facebook, Instagram, Twitter linked</t>
  </si>
  <si>
    <t xml:space="preserve">'Skip to Content' on shop only; PDP alt 'main product photo'; flavor images lack alt; no a11y statement</t>
  </si>
  <si>
    <t xml:space="preserve">No blog or dated news; Pop Culture page is undated promo content</t>
  </si>
  <si>
    <t xml:space="preserve">'Get Makin'' recipes link on Pop Culture page; no FAQ</t>
  </si>
  <si>
    <t xml:space="preserve">/store-locator/ exists ('FIND YOUR FAYGO') but the tool is JS-rendered; no addresses/hours visible</t>
  </si>
  <si>
    <t xml:space="preserve">Canonical https://atlaswholesalefood.com/; note nav 'Online Ordering' points to http://atlaswholesale.pepr.app</t>
  </si>
  <si>
    <t xml:space="preserve">robots.txt returns an empty body on www and non-www hosts — no directives, no Sitemap: line</t>
  </si>
  <si>
    <t xml:space="preserve">/sitemap.xml serves the homepage HTML; Yoast /sitemap_index.xml works (post/page/news), news sitemap 6 URLs, newest 2024-01-08</t>
  </si>
  <si>
    <t xml:space="preserve">Home title 'Atlas Wholesale Food Company' (brand only); inner titles templated ('Food Service - Atlas Wholesale Food Company')</t>
  </si>
  <si>
    <t xml:space="preserve">Home 'supplying restaurants in southeast Michigan for over 71 years…'; Food Service 'Supplying the Food Service Industry…'</t>
  </si>
  <si>
    <t xml:space="preserve">Canonical on homepage and /food-service/ (also /about-us/, /contact-us/)</t>
  </si>
  <si>
    <t xml:space="preserve">/food-service/, /food-assistance-programs/, /news/dbusiness/ — readable hyphenated slugs</t>
  </si>
  <si>
    <t xml:space="preserve">No product listings publicly; Food Service shows brand logos (Heinz, Tyson, Kraft…) only; catalog sits in Pepr login app</t>
  </si>
  <si>
    <t xml:space="preserve">Food Service ~450 words and Food Assistance ~250 words of marketing copy; no product-level descriptions</t>
  </si>
  <si>
    <t xml:space="preserve">Only brand-logo images, 'no alt text attributes provided for any images' on Food Service and Food Assistance</t>
  </si>
  <si>
    <t xml:space="preserve">No prices or 'login for pricing' text; account path is clear (New Customer Application + Online Ordering link)</t>
  </si>
  <si>
    <t xml:space="preserve">No pack sizes, specs or variants on any public page</t>
  </si>
  <si>
    <t xml:space="preserve">No category tree (Food Service / Food Assistance Programs only) and no breadcrumbs</t>
  </si>
  <si>
    <t xml:space="preserve">No collection pages, filters or sort</t>
  </si>
  <si>
    <t xml:space="preserve">No site search box</t>
  </si>
  <si>
    <t xml:space="preserve">'Become a Customer' in nav; 'New Customer Application' + 'Online Ordering' buttons on home, Food Service, Food Assistance</t>
  </si>
  <si>
    <t xml:space="preserve">/refund-policy/ ~50 words: 'We do not offer refunds on any sales, all sales are final'; no delivery/shipping policy</t>
  </si>
  <si>
    <t xml:space="preserve">Jotform application: business info, delivery window, credit app (EIN, 3 trade refs), ACH; cash to driver then 7-day ACH</t>
  </si>
  <si>
    <t xml:space="preserve">Homepage promotes the Atlas Foodshow (May 6, 2026) and 2023 merger news; no product/collection merchandising</t>
  </si>
  <si>
    <t xml:space="preserve">Michigan Certified Small Business (MCSB / Michigan 50) badge on homepage; no reviews or guarantees</t>
  </si>
  <si>
    <t xml:space="preserve">Contact Us: 313-921-1251, Sales@AtlasWholesaleFood.com, 5100 Saint Jean St, Detroit MI 48213 + Westland address, form</t>
  </si>
  <si>
    <t xml:space="preserve">/about-us/ ~1,100 words: roots in early 1900s, founded 1939, three generations, Westland site acquired 2023</t>
  </si>
  <si>
    <t xml:space="preserve">Privacy Policy, Refund Policy and Opt-Out Preferences in footer; no Terms page</t>
  </si>
  <si>
    <t xml:space="preserve">Facebook, YouTube, LinkedIn in footer</t>
  </si>
  <si>
    <t xml:space="preserve">'Skip to content' (#content) present; images lack alt text</t>
  </si>
  <si>
    <t xml:space="preserve">In the News lists undated third-party articles; news sitemap newest lastmod 2024-01-08</t>
  </si>
  <si>
    <t xml:space="preserve">No FAQ, guides or recipes</t>
  </si>
  <si>
    <t xml:space="preserve">Both depots listed: 5100 Saint Jean St, Detroit 48213 and 35500 Central City Pkwy, Westland 48185; SE Michigan service area</t>
  </si>
  <si>
    <t xml:space="preserve">Canonical https://www.sunvalleyfoods.com/; note 'Customer Orders' nav link is http://www.sunvalleyfoods.com/erp</t>
  </si>
  <si>
    <t xml:space="preserve">robots.txt: 'User-agent: * / Disallow: /wp-admin/' — no Sitemap: line</t>
  </si>
  <si>
    <t xml:space="preserve">/sitemap.xml, /wp-sitemap.xml and /sitemap_index.xml all return 404; only an HTML /sitemap/ page exists</t>
  </si>
  <si>
    <t xml:space="preserve">Home title 'Sun Valley Foods' (brand only); inner titles templated ('Our Products — Sun Valley Foods')</t>
  </si>
  <si>
    <t xml:space="preserve">Homepage meta description is just 'SunValleyFoods.com'; Our Products, About and Contact have none</t>
  </si>
  <si>
    <t xml:space="preserve">Canonical on homepage and /our-products/ (and every inner page fetched)</t>
  </si>
  <si>
    <t xml:space="preserve">/our-products/, /areas-served/, /k-12-and-higher-education/ readable slugs (/legalterms-of-use/ is mangled)</t>
  </si>
  <si>
    <t xml:space="preserve">No products; Our Products lists 13 category names only ('Fluid Milk &amp; Milk By-products', 'Lunch Kits')</t>
  </si>
  <si>
    <t xml:space="preserve">Our Products ~50 words total ('We give preference to Michigan grown and processed products'); no product copy</t>
  </si>
  <si>
    <t xml:space="preserve">No images on the Our Products page</t>
  </si>
  <si>
    <t xml:space="preserve">No prices, no 'login for pricing', no account instructions; only a login-only ERP portal</t>
  </si>
  <si>
    <t xml:space="preserve">No pack sizes, specs or variants</t>
  </si>
  <si>
    <t xml:space="preserve">Flat, unlinked list of 13 categories; no breadcrumbs</t>
  </si>
  <si>
    <t xml:space="preserve">Only 'Customer Orders' (login portal) and a generic Contact Us form; no become-a-customer or request-quote CTA</t>
  </si>
  <si>
    <t xml:space="preserve">No shipping/returns policy; Areas Served only says trucks 'deliver daily on a next day basis'</t>
  </si>
  <si>
    <t xml:space="preserve">/erp is a 'Sun Valley Foods Login screen' (user name/password); no sign-up or new-customer application</t>
  </si>
  <si>
    <t xml:space="preserve">Homepage has three static feature blocks (Markets Served, Healthcare, K-12/Higher Education)</t>
  </si>
  <si>
    <t xml:space="preserve">Food Safety: HACCP planning, FDA/USDA/AIB/Michigan Dept of Education inspections; '99.9 percent delivery'; no reviews</t>
  </si>
  <si>
    <t xml:space="preserve">Contact Us has only a form (Name, Email, Subject, Message, CAPTCHA); no phone or street address on the site</t>
  </si>
  <si>
    <t xml:space="preserve">About Us ~220 words: founded 1953, family-owned, 150,000 sq ft warehouse, serves lower Michigan and Northern Ohio</t>
  </si>
  <si>
    <t xml:space="preserve">/privacy-policy/ and /legalterms-of-use/ (~75 words, minimal) linked in footer</t>
  </si>
  <si>
    <t xml:space="preserve">No social links on any fetched page</t>
  </si>
  <si>
    <t xml:space="preserve">No skip link seen; some images have alt ('Schoolchildren enjoying their lunch…'), Markets image has none</t>
  </si>
  <si>
    <t xml:space="preserve">No blog or news section</t>
  </si>
  <si>
    <t xml:space="preserve">No FAQ or guides</t>
  </si>
  <si>
    <t xml:space="preserve">Areas Served: next-day delivery 'East to Port Huron, North to Bay City, West to Grand Rapids… South to Northern Ohio'; no address</t>
  </si>
  <si>
    <t xml:space="preserve">curl final URL https://www.fairhavenhealth.com/ returned 200; all 40 fetched URLs served over https</t>
  </si>
  <si>
    <t xml:space="preserve">/robots.txt: 'Allow: /', blocks only cart/checkout/account/sort_by; ends 'Sitemap: https://www.fairhavenhealth.com/sitemap.xml'</t>
  </si>
  <si>
    <t xml:space="preserve">/sitemap.xml index -&gt; sitemap_products_1.xml (32 product URLs), sitemap_collections_1.xml (42), pages, blogs; all fetched 200</t>
  </si>
  <si>
    <t xml:space="preserve">Home 'Fairhaven Health - Natural Fertility, Pregnancy, and Nursing Products'; 20/20 sampled PDP titles unique (73-91 chars, brand suffix)</t>
  </si>
  <si>
    <t xml:space="preserve">Home desc 'Fairhaven Health offers all natural, doctor-designed fertility...'; PDP desc unique on 20/20 (13 end 'Learn more…')</t>
  </si>
  <si>
    <t xml:space="preserve">&lt;link rel=canonical&gt; = https://www.fairhavenhealth.com/ on home and https://www.fairhavenhealth.com/products/fh-pro-for-women on PDP</t>
  </si>
  <si>
    <t xml:space="preserve">PDP ld+json: Product (sku, gtin12) + Offer (89.99, InStock) + FAQPage; home Organization+WebSite; no BreadcrumbList/AggregateRating 20/20</t>
  </si>
  <si>
    <t xml:space="preserve">Hyphenated handles: /products/fh-pro-for-women, /collections/female-fertility-supplements; no IDs or session params</t>
  </si>
  <si>
    <t xml:space="preserve">Consistent brand/type titles: 'FH PRO® Fertility Multivitamin For Women', 'Myo + D-Chiro Inositol Powder'; sizes as variants '120 CT/240 CT'</t>
  </si>
  <si>
    <t xml:space="preserve">products.json body_html: fh-pro-for-women 421 words, myo-inositol 164 words (range 145-847; 1 of 32 empty: milkies-nursing-postnatal)</t>
  </si>
  <si>
    <t xml:space="preserve">fh-pro-for-women 7 images, myo-inositol 10 images; alt e.g. 'Fairhaven Health FH Pro Fertility Multivitamin for Women supplement facts.'</t>
  </si>
  <si>
    <t xml:space="preserve">PDP $89.99 + 'Add to Cart'; sold-out item shows 'Sold out'; Offer availability InStock/OutOfStock; 'Free Shipping (US) on orders $35+'</t>
  </si>
  <si>
    <t xml:space="preserve">/products/myo-inositol has Size selector (120 CT $19.99 / 240 CT $35.99); Supplement Facts only as image (*_SFP.jpg), no HTML table on 20/20</t>
  </si>
  <si>
    <t xml:space="preserve">Mega-menu Products &gt; Life Stage/Health Concern; crumb 'Home / Shop / Female Fertility Supplements'; PDP crumb only 'Home / product name'</t>
  </si>
  <si>
    <t xml:space="preserve">Metafield filters (filter.p.m.custom.gender, life_stage, health_benefit, key_ingredients, made_without...) + 9 sort options on collection</t>
  </si>
  <si>
    <t xml:space="preserve">/search?q=fertilaid -&gt; page titled 'Search: 30 results found for "fertilaid"' with filters, Relevance sort; predictive search drawer</t>
  </si>
  <si>
    <t xml:space="preserve">'Add to Cart' button on PDP (product-form); homepage hero 'Shop Now' + 9 'Add to Cart' buttons on product cards</t>
  </si>
  <si>
    <t xml:space="preserve">/pages/shipping-and-returns: free shipping over $35 ($4.95 under), ships 1-2 business days, 4-8 day delivery, 30-day unopened returns + RMA</t>
  </si>
  <si>
    <t xml:space="preserve">PDP renders Shopify accelerated-checkout (Shop Pay/PayPal) buttons; 'Login' optional header link, no account wall (checkout not entered)</t>
  </si>
  <si>
    <t xml:space="preserve">Home links /collections/new, /best-sellers, /bundles, /surplus-savings, /fh-pro + product carousels; /collections/all 200 (32 products)</t>
  </si>
  <si>
    <t xml:space="preserve">Stamped ratings on cards/PDP (FertilAid Women 1,921 reviews 4.5★); 'guaranteed for quality and label claim' on returns page; Route/Redo apps</t>
  </si>
  <si>
    <t xml:space="preserve">/pages/contactus: form + 800-367-2837 (Mon-Fri 8-6 ET) + 45 Kenneth Dooley Drive, Middletown CT 06457 + support@fairhavenhealth.com</t>
  </si>
  <si>
    <t xml:space="preserve">/pages/our-story 'Our Difference': ~161 words (20+ years, vision/mission, 5 bullets) then a Best Sellers carousel - brief</t>
  </si>
  <si>
    <t xml:space="preserve">Footer: /policies/privacy-policy, /policies/terms-of-service, /pages/ccpa-opt-out + /pages/accessibility-statement ('Updated: August 2023')</t>
  </si>
  <si>
    <t xml:space="preserve">Footer: facebook.com/FairhavenHealth.FertilAid and instagram.com/fairhaven_health (also in Organization sameAs)</t>
  </si>
  <si>
    <t xml:space="preserve">'Skip to content' link to #main-content; product images carry alt text; /pages/accessibility-statement present</t>
  </si>
  <si>
    <t xml:space="preserve">/blogs/fairhaven-health-library exists (3 pages, 'Why Blood Sugar Balance Is So Important...') but no &lt;time&gt;/date on index or home cards</t>
  </si>
  <si>
    <t xml:space="preserve">FAQ accordion on 17/20 PDPs (FAQPage ld+json); /pages/products-quiz; blog how-tos e.g. 'How to Talk to Your Healthcare Provider...'</t>
  </si>
  <si>
    <t xml:space="preserve">/pages/retailers-distributors lists international distributors with addresses/phones (Bulgaria, Canada, NZ...); no US store locator or hours</t>
  </si>
  <si>
    <t xml:space="preserve">All 40 fetched pages served on https; canonical https://federalfp.com; no http redirects seen (captures/index.txt)</t>
  </si>
  <si>
    <t xml:space="preserve">robots.txt has 2 Sitemap: lines but 'Disallow: /catalog/product/view/' blocks 20,242 of 54,496 product URLs in the 3 sitemap files fetched</t>
  </si>
  <si>
    <t xml:space="preserve">sitemap.xml = index of 9 files; sitemap_001.xml holds 19,921 URLs (2,484 categories + 17,437 products with image tags), lastmod 2026-09-18</t>
  </si>
  <si>
    <t xml:space="preserve">Homepage title descriptive; PDP &lt;title&gt; is the bare part code ('FI-TE-04LLMk-W3-MS - 6010000456'); 11/19 sampled titles code-only</t>
  </si>
  <si>
    <t xml:space="preserve">Homepage has a specific description; 19/19 sampled PDPs + 7 CMS pages share one boilerplate 'Discover a trusted online destination…'</t>
  </si>
  <si>
    <t xml:space="preserve">Canonical on homepage (https://federalfp.com) and PDP (/fi-te-04llmk-w3-ms-6010000456.html); 3/3 unrewritten PDPs canonical to a blocked URL</t>
  </si>
  <si>
    <t xml:space="preserve">PDP ld+json Product+Offer (price 22.9, InStock, shippingDetails) + BreadcrumbList; caveat: 2 BreadcrumbList blocks, InStock on 8/9 RFQ items</t>
  </si>
  <si>
    <t xml:space="preserve">Rewritten URLs hyphenated (/fi-te-04llmk-w3-ms-6010000456.html) but 37% of sitemap products are /catalog/product/view/id/N/; 95% cats end -1</t>
  </si>
  <si>
    <t xml:space="preserve">Names are vendor part codes; 11/19 sampled have no descriptor ('BV3-04-NPT', '804500106'), 8/19 add one ('KS-A37-05-32 - Seal Kit for A37…')</t>
  </si>
  <si>
    <t xml:space="preserve">Both sampled couplings: 'DIN-Stud Couplings mild steel' (4 words); 17/19 sampled PDPs under 50 words, 7 just repeat the title</t>
  </si>
  <si>
    <t xml:space="preserve">1 gallery image on 14/19 PDPs; 10/19 show a manufacturer logo (alaindustries.jpg, dnpamerica.jpg, stucchi.jpg) as product photo; alt = code</t>
  </si>
  <si>
    <t xml:space="preserve">Price shown ($22.90) but no stock state/qty; 9/19 PDPs swap Add to Cart for 'Request Pricing and Availability' yet print a price ($3.40)</t>
  </si>
  <si>
    <t xml:space="preserve">'More Information' = Product Name, SKU, Weight, Brand only on 18/19 PDPs; thread/port/material live only in title/description; no variants</t>
  </si>
  <si>
    <t xml:space="preserve">Tree up to 7 levels (2,484 category URLs in sitemap_001); breadcrumb nav + BreadcrumbList on PDP: Home / Adapters &amp; Fittings / Couplings / …</t>
  </si>
  <si>
    <t xml:space="preserve">Amasty filters (couplings: Category/Brand/Price; cylinders: Bore, Stroke, Rod Dia.) but no sort control; toolbar only 'Show 20 40 80'</t>
  </si>
  <si>
    <t xml:space="preserve">Header search; /catalogsearch/result/?q=FI-TE-04LLMK-W3-MS returns the exact item ('1 Item'); results noindex; page 1.74 MB, 528 facets</t>
  </si>
  <si>
    <t xml:space="preserve">'Add to Cart' on PDP and listing cards; homepage is a category-tile grid ('Click a category below') with no buy/quote CTA or featured items</t>
  </si>
  <si>
    <t xml:space="preserve">Footer 'Shipping Policy' and 'Return Policy' both link to /terms/ (legal T&amp;C): returns 30 days, no restocking fee if new; no shipping rates</t>
  </si>
  <si>
    <t xml:space="preserve">'Create an Account' (/customer/account/create/) + 'Checkout as a new customer' popup; guest checkout is a runtime flag, unverifiable</t>
  </si>
  <si>
    <t xml:space="preserve">Homepage = static category tiles + one banner (HPUBannerFFP.jpg); no new/best-seller/seasonal blocks; indexed /brand/patriot-hydraulics 404s</t>
  </si>
  <si>
    <t xml:space="preserve">No product/store reviews or ratings, no guarantee/award/secure badges on homepage or PDP; footer has only a theme 'cdz-footer-payment' strip</t>
  </si>
  <si>
    <t xml:space="preserve">Footer: 14940 Cleat St, Plymouth MI 48170 + Vestaburg + Gaylord addresses, phones (1-734-455-1722), sales@federalfp.com, hours; contact form</t>
  </si>
  <si>
    <t xml:space="preserve">/ffp-federal-fluid-power-info/ is a 126-word 'Services/About Us' block; same text reused on /career-at-federal-fluid-power-inc/</t>
  </si>
  <si>
    <t xml:space="preserve">Privacy /ffp-privacy-policy/ (693 words) and Terms /terms/ (+ duplicate /ffp-terms-conditions-of-sale/, 2,315 words); no accessibility page</t>
  </si>
  <si>
    <t xml:space="preserve">No facebook/linkedin/instagram/youtube links anywhere in homepage or footer HTML (grep on captures/homepage.html returned none)</t>
  </si>
  <si>
    <t xml:space="preserve">'Skip to Content' link (#contentarea) on every page; listing/gallery images alt = product name (server-rendered gallery img alt="" until JS)</t>
  </si>
  <si>
    <t xml:space="preserve">No blog/news link in nav, footer or the 63 CMS URLs in sitemap_009; no dated articles anywhere fetched</t>
  </si>
  <si>
    <t xml:space="preserve">Engineering Toolbox (/engineering-toolbox/, in-browser calculators, 2,570 words) + Hose/Product Configurators; no FAQ page</t>
  </si>
  <si>
    <t xml:space="preserve">Footer 'Locations' lists 3 branches with street address, phone and 'Mon-Fri / 8:00 am - 5:00 pm EST' (Plymouth, Vestaburg, Gaylord)</t>
  </si>
  <si>
    <t xml:space="preserve">https serves 200 with HSTS, but http://royalapparel.net/ also returns 200 (same 515-byte stub), no 301 to https (redirect-chains.txt)</t>
  </si>
  <si>
    <t xml:space="preserve">robots.txt: 2 Disallow lines (search &amp; preview URLs only) + 'Sitemap: https://royalapparel.net/sitemap.xml'</t>
  </si>
  <si>
    <t xml:space="preserve">sitemap.xml 200, 1,063 URLs incl. 248 /product/ URLs; but 408 CGI catalog_browse URLs that 301, plus cart.p/login.p/404 entries</t>
  </si>
  <si>
    <t xml:space="preserve">Home 'USA-Made Wholesale Apparel &amp; Eco-Friendly Clothing | Royal Apparel | Royal Wholesale'; PDP 'Unisex Short Sleeve Tee | Royal Wholesale'</t>
  </si>
  <si>
    <t xml:space="preserve">Home meta 'Premium blank apparel made in the USA…'; PDP 5051 meta specific; but /Category/Men/ has none and 6/20 PDPs use one auto-template</t>
  </si>
  <si>
    <t xml:space="preserve">No &lt;link rel=canonical&gt; on /index, /Category/Men/ or any of 20 PDPs; only the 515-byte meta-refresh stub at / carries one</t>
  </si>
  <si>
    <t xml:space="preserve">PDP LD+JSON: 2 separate Product blocks; Offer has availability:'' url:''; aggregateRating 5/326 identical on 19/19; no BreadcrumbList</t>
  </si>
  <si>
    <t xml:space="preserve">/product/5051/Unisex-Short-Sleeve-Tee.html readable; but nav + 408 sitemap URLs use catalog_browse.p?site=B2B&amp;layout=Baseb2b&amp;browsepath=205</t>
  </si>
  <si>
    <t xml:space="preserve">H1 '5051 Unisex Short Sleeve Tee', '5001w Women's Short Sleeve Tee'; 19/20 sampled names follow type+fabric+item pattern</t>
  </si>
  <si>
    <t xml:space="preserve">5051 description 64 words (fabric oz, seams, tear-away label); 5001W 79 words; 17/19 live sampled PDPs &gt;=50 words</t>
  </si>
  <si>
    <t xml:space="preserve">5051 prodJSON: 107 alt-view images; rendered alts like 'Unisex Short Sleeve Tee BLACK Back'; 5001W 51 images</t>
  </si>
  <si>
    <t xml:space="preserve">Public price: prodJSON regPrice 6.98, view_item value 6.98; per-size stock is JS-only (show_stock false; Offer availability '')</t>
  </si>
  <si>
    <t xml:space="preserve">5051: 28 colors x 9 sizes (XS-5X) in prodJSON, size row rendered in HTML, Spec Sheet PDF link, fabric weight in copy</t>
  </si>
  <si>
    <t xml:space="preserve">23 categories incl. Kids &gt; Infant/Toddler/Youth, but 0 breadcrumb markup on /Category/Men/ or any of 20 PDPs</t>
  </si>
  <si>
    <t xml:space="preserve">/Category/Men/: filters Color, Fabric, Item Type, Sleeve Length, Neckline, Tear Away, USA or Import; sort Default/Product ID/Name/Price</t>
  </si>
  <si>
    <t xml:space="preserve">Header search -&gt; catalog_browse.p?searchText=5051 returns 9 results, 5051 first (h1 'Search for: 5051')</t>
  </si>
  <si>
    <t xml:space="preserve">PDP add-to-cart is built by /js/catalog_product.js ('.addToCartBtn', 'Add To Cart Click'); not in server HTML; home CTA 'CREATE AN ACCOUNT'</t>
  </si>
  <si>
    <t xml:space="preserve">/shipping: free freight on orders &gt;= $350 (+$9.95 handling, per warehouse); /customer-service: RA number, 20% restocking, 10-day window</t>
  </si>
  <si>
    <t xml:space="preserve">'CREATE ACCOUNT' -&gt; /customer/account/login/; customer_registration.p + web_checkout.p exist; guest checkout not verifiable</t>
  </si>
  <si>
    <t xml:space="preserve">/index: 4-slide hero (files dated 20260909-20260923), tiles Women/Men/Heavyweight/Vintage, nav Best Sellers/New/Sale, all 200</t>
  </si>
  <si>
    <t xml:space="preserve">/royal-apparel-reviews 200 + Made-in-USA badges; PDP rating hardcoded 5/326 on 19/19 PDPs; footer /eco-certifications link 404s</t>
  </si>
  <si>
    <t xml:space="preserve">/customer-service: Tel 866.769.2517, Fax 631.922.8438, 91 Cabot Court Hauppauge NY 11788, hours Mon-Fri 9-5:30 EST, inquiry form</t>
  </si>
  <si>
    <t xml:space="preserve">/about-royal-apparel: 264-word founding story (early 1990s, Manhattan Garment District) + links to usa-made, go-green, our-team</t>
  </si>
  <si>
    <t xml:space="preserve">/privacy 200 and /Terms 200 linked in footer; Termly 'Do Not Sell or Share' links; UserWay widget but no accessibility statement page seen</t>
  </si>
  <si>
    <t xml:space="preserve">Footer links Facebook, X, Instagram, YouTube, Pinterest, TikTok (6 profiles) with aria-labels</t>
  </si>
  <si>
    <t xml:space="preserve">No skip link on /index or PDP; product imgs have alts; carousel has ARIA; 6 home dropdown banners + 90 imgs on /Category/Men/ lack alt</t>
  </si>
  <si>
    <t xml:space="preserve">/in-the-news (footer 'News') has 47 words of intro and no posts or dates; newest sitemap lastmod is 2024-07-23</t>
  </si>
  <si>
    <t xml:space="preserve">Help Center support.royalapparel.com (FAQ 'Definitions, How to's') + guides /our-fabrics-information, /fabric-weights, /colors</t>
  </si>
  <si>
    <t xml:space="preserve">HQ address on /customer-service; 'East Coast + West Coast Distribution' on PDP; store_locator.p is a bare 'Store Locator Template'</t>
  </si>
  <si>
    <t xml:space="preserve">Type</t>
  </si>
  <si>
    <t xml:space="preserve">Finding</t>
  </si>
  <si>
    <t xml:space="preserve">Count / sample</t>
  </si>
  <si>
    <t xml:space="preserve">Maps to (posting duty)</t>
  </si>
  <si>
    <t xml:space="preserve">Why it matters</t>
  </si>
  <si>
    <t xml:space="preserve">Fix</t>
  </si>
  <si>
    <t xml:space="preserve">Evidence files (captures/)</t>
  </si>
  <si>
    <t xml:space="preserve">Status</t>
  </si>
  <si>
    <t xml:space="preserve">Strength</t>
  </si>
  <si>
    <t xml:space="preserve">S1</t>
  </si>
  <si>
    <t xml:space="preserve">PDPs are complete: 5.0-star ratings with 600-1,400 reviews, 'In Stock! Leaves Warehouse in 1-2 Days', size chart + calculator, product FAQs</t>
  </si>
  <si>
    <t xml:space="preserve">Published</t>
  </si>
  <si>
    <t xml:space="preserve">S2</t>
  </si>
  <si>
    <t xml:space="preserve">Findability is hand-tuned: unique titles/meta descriptions on home, category and PDPs, BreadcrumbList JSON-LD, clean slugs</t>
  </si>
  <si>
    <t xml:space="preserve">S3</t>
  </si>
  <si>
    <t xml:space="preserve">Trust stack: phone, street address, chat and form, WCAG 2.2 AA accessibility statement, factory store hours with map and retailer finder</t>
  </si>
  <si>
    <t xml:space="preserve">/blog/ is an empty shell with no posts and no sitemap entries — publish dated posts (care, sizing, factory stories) or remove the page</t>
  </si>
  <si>
    <t xml:space="preserve">PDP breadcrumbs follow seasonal collections ('Home &gt; Collections &gt; Father's Day Gifting &gt; ...'); set a primary category so they read Men's &gt; Caps</t>
  </si>
  <si>
    <t xml:space="preserve">Clean the PDP price template that prints blank 'Was:' and '(You save )' on full-price items, and add a /sitemap.xml redirect to /xmlsitemap.php</t>
  </si>
  <si>
    <t xml:space="preserve">PDPs carry full spec tables (dimensions, cushion construction, frame) with review counts (4.7/31) and monthly financing</t>
  </si>
  <si>
    <t xml:space="preserve">Delivery and returns are specific: free weekday doorstep delivery, same-day options, 7-day return window with the 25% fee stated</t>
  </si>
  <si>
    <t xml:space="preserve">Deep 3-level taxonomy with breadcrumbs, strong merchandising (Bestsellers/New/Clearance) and a news blog updated Sept 2026</t>
  </si>
  <si>
    <t xml:space="preserve">Add a product sitemap covering all /product/ URLs and reference it from /sitemap.xml (only categories and guides are listed today)</t>
  </si>
  <si>
    <t xml:space="preserve">Server-render category product grids, filters/sort and the footer (privacy/terms/social links) - none appear in the served HTML</t>
  </si>
  <si>
    <t xml:space="preserve">Expand /about beyond ~75 words with the 1912 Detroit story, expose social links and phone in the footer HTML, drop Crawl-delay: 10</t>
  </si>
  <si>
    <t xml:space="preserve">Textbook Shopify SEO baseline: robots with Allow rules + Sitemap, sitemap index, unique titles, descriptions and canonicals</t>
  </si>
  <si>
    <t xml:space="preserve">Shipping page spells out tiers ($14.95 under $99, free $99-$250), 2-5 day transit, cold packs, and a 100% satisfaction guarantee</t>
  </si>
  <si>
    <t xml:space="preserve">Active content engine: 573-post Up North Blog (latest Sept 10, 2026), recipes, gifting guide, plus 11 Michigan store listings</t>
  </si>
  <si>
    <t xml:space="preserve">Add a product review app so star ratings and counts show on PDPs and collection cards - homepage testimonials are the only social proof</t>
  </si>
  <si>
    <t xml:space="preserve">Add faceted filters (product type, price, dietary, size) to /collections/* - currently sort + pagination only</t>
  </si>
  <si>
    <t xml:space="preserve">Fix PDP image alts (Amaretto: 3 images, no alt; Dark Chocolate alt says 'almonds') and expand Amaretto copy past 50 words</t>
  </si>
  <si>
    <t xml:space="preserve">Rich PDPs: 6-8 lifestyle photos with descriptive alts, ingredients, net weight, ~150-word copy and related products</t>
  </si>
  <si>
    <t xml:space="preserve">Transparent fulfillment: tiered shipping table, regional transit times, '12+ jars ship for $12', HQ address and support hours</t>
  </si>
  <si>
    <t xml:space="preserve">Six Michigan stores with addresses/phones/hours, an FAQ &amp; Allergen page, and a recipe hub</t>
  </si>
  <si>
    <t xml:space="preserve">Expand the homepage &lt;title&gt; from 'American Spoon' to brand + what/where; remove the stray '*' from the 'Jam, Preserves &amp; Nut Butters *' collection title</t>
  </si>
  <si>
    <t xml:space="preserve">Add breadcrumbs and faceted filters (fruit, product type, availability, price) to collection pages - only sort + pagination today</t>
  </si>
  <si>
    <t xml:space="preserve">Show review counts/stars on PDPs and cards, hide the 'Default Title' variant dropdown, and delete or revive the empty /blogs/news</t>
  </si>
  <si>
    <t xml:space="preserve">Category cards show price, sale percentage, star rating and review count (e.g. 4.4 stars / 1,372 reviews, 'Top Seller')</t>
  </si>
  <si>
    <t xml:space="preserve">PDPs carry deep spec tables (cord length, tank capacity, weight, similar models) plus product-specific FAQs and model-numbered titles</t>
  </si>
  <si>
    <t xml:space="preserve">Accessibility and technical hygiene: skip-link set, WCAG 2AA statement, clean sitemap index split into product/category/content files</t>
  </si>
  <si>
    <t xml:space="preserve">PDPs render price but no Add-to-Cart or stock text in served HTML — server-render the buy box and add 'In stock'/'Out of stock' state</t>
  </si>
  <si>
    <t xml:space="preserve">sitemap_0-product.xml lists discontinued models (e.g. /product/proheat-2x-upright-carpet-cleaner-1383.html) that render without price or CTA — prune or 301</t>
  </si>
  <si>
    <t xml:space="preserve">Publish shipping/returns specifics on bissell.com (footer links go to robots-blocked support.bissell.com) and add filters/sort + image alt on PLPs</t>
  </si>
  <si>
    <t xml:space="preserve">Best PLP in the group: 11 filter facets (type, availability, mechanism, cover, color, price, features, dimensions, style), 6 sorts, 372-item Load More</t>
  </si>
  <si>
    <t xml:space="preserve">PDPs show price plus 'Made to Order. Delivery in 6-8 weeks', full dimension specs, fabric swatches with codes, '$67 per month' financing, lifetime warranty</t>
  </si>
  <si>
    <t xml:space="preserve">Store locator with zip search, addresses, phones and hours, backed by a dedicated storepages.xml sitemap and geo-localized 'In stock for Columbus, OH'</t>
  </si>
  <si>
    <t xml:space="preserve">Add meta descriptions to the homepage and /b/ category pages (none present) and shorten PDP ones, which are full paragraphs of body copy</t>
  </si>
  <si>
    <t xml:space="preserve">Consolidate product URL variants — sitemap /p/name/_/R-id, PLP links /i/..., canonical /p/living-room/.../R-id — so internal links and sitemap match canonical</t>
  </si>
  <si>
    <t xml:space="preserve">Render star ratings and review counts on PDP/PLP (only a 'Reviews' anchor exists), and add an Our Story page — HQ Monroe appears only in the Privacy Notice</t>
  </si>
  <si>
    <t xml:space="preserve">Shipping and returns pages give real specifics: free over $125, UPS tiers with prices/days, 30-day window, prepaid labels, refund timing</t>
  </si>
  <si>
    <t xml:space="preserve">PDPs combine 13-colorway swatch selector, engraving add-on and spec list (case size, material, movement) with 5-6 image galleries</t>
  </si>
  <si>
    <t xml:space="preserve">Deep support content: 30+ FAQ answers, strap-changing/winding/repair-cost guides, manuals, plus a ~3,000-word About page</t>
  </si>
  <si>
    <t xml:space="preserve">PDPs (e.g. /products/runwell-watch-white): add a reviews/ratings widget and explicit stock state — no reviews or 'In stock' text at $750-$1,450</t>
  </si>
  <si>
    <t xml:space="preserve">Replace PDP breadcrumb 'Home • Runwell Watch' with the real path (Home &gt; Watches &gt; Men's &gt; Runwell) and add breadcrumbs + a sort control on /collections/*</t>
  </si>
  <si>
    <t xml:space="preserve">Write unique PDP meta descriptions (current ones are auto-truncated copy ending mid-sentence) and revive /blogs/news, last dated 2015</t>
  </si>
  <si>
    <t xml:space="preserve">Long-form product storytelling (~320-350 words, recipes, storage tips) with size variants, delivery-by dates and back-in-stock alerts</t>
  </si>
  <si>
    <t xml:space="preserve">Returnless Guarantee and full shipping rate tables on every page; guest checkout explicitly offered</t>
  </si>
  <si>
    <t xml:space="preserve">Deep 1,000+ URL sitemap, clean robots, unique titles/descriptions and 3-level breadcrumbs</t>
  </si>
  <si>
    <t xml:space="preserve">Render category product grids server-side with filters (type, milk, price) and sort - /Category.aspx pages show no products in HTML</t>
  </si>
  <si>
    <t xml:space="preserve">Trim the stuffed title suffix 'for sale. Buy online at Zingerman's Mail Order. Gourmet Gifts. Food Gifts.'; add canonicals to home/category pages</t>
  </si>
  <si>
    <t xml:space="preserve">Add product reviews and a second PDP image per product; revive The Feed (last post Sept 2024) or link fresher content from the footer</t>
  </si>
  <si>
    <t xml:space="preserve">Category pages have rich faceted filters (price bands, brand, size, width, color, activity) plus sort and a '24 of 285' count</t>
  </si>
  <si>
    <t xml:space="preserve">Guest checkout is allowed and PDPs show sale vs regular price with savings, color/size pickers and spec bullets</t>
  </si>
  <si>
    <t xml:space="preserve">Store pages list address, phone and full weekly hours; FAQ spells out 60-day returns and a 100% price-match guarantee</t>
  </si>
  <si>
    <t xml:space="preserve">Write unique product meta descriptions - PDP meta currently duplicates the title ('Under Armour Men's Charged Pursuit 3 Running Shoes')</t>
  </si>
  <si>
    <t xml:space="preserve">Add breadcrumbs (Footwear &gt; Mens &gt; Athletic) to category and PDP templates and show explicit In Stock / Out of Stock on the PDP</t>
  </si>
  <si>
    <t xml:space="preserve">Replace the generic shipping page with real rates, thresholds and delivery times; add product ratings and social profile links to the footer</t>
  </si>
  <si>
    <t xml:space="preserve">Complete product pages: color/size selectors, 8-13 images with alt text, 120-200-word descriptions with fabric specs (60/40, 12 oz/400 GSM), price plus 'Available Now!'</t>
  </si>
  <si>
    <t xml:space="preserve">Collection pages offer Availability/Price filters, eight sort options and per-page controls, and site search works (54 results for 'hoodie')</t>
  </si>
  <si>
    <t xml:space="preserve">Trust basics in place: Warren, MI address with hours, phone, email, privacy/terms/refund policies and a skip link</t>
  </si>
  <si>
    <t xml:space="preserve">Homepage head: add a canonical tag and a real meta description (none observed) and rewrite the title 'APPAREL WHOLESALE T-SHIRT HODDIES JOGGERS' to e.g. 'Wholesale Blank T-Shirts, Hoodies &amp; Joggers | Apparel Wholesale Depot, Warren MI'</t>
  </si>
  <si>
    <t xml:space="preserve">Clean product data: fix the 'Save $-4.99' compare-at bug on H1009, rename duplicated handles ('copy-of-h1001…', 'products-h9002…') with redirects, and point breadcrumbs at the real collection instead of 'All'</t>
  </si>
  <si>
    <t xml:space="preserve">Add a shipping policy (processing time, carriers, thresholds) and a wholesale-pricing/MOQ page or tier table instead of 'call (586)-510-4026'; fix the broken TikTok footer link and post to the blog (last update 2025-12-23)</t>
  </si>
  <si>
    <t xml:space="preserve">Hand-written, keyword-rich titles and meta descriptions on homepage, collections and PDPs (e.g. 'Made In Detroit Shifter Shirt | Detroit Muscle Car Tee')</t>
  </si>
  <si>
    <t xml:space="preserve">Shipping and return policies state specifics: free over $75, 2-day dispatch, 30-day window, fees, and the Clarkston return address</t>
  </si>
  <si>
    <t xml:space="preserve">PDPs show 'In stock', full size runs to 5X/6X with a measured size chart and fabric content; site search offers type/design/color/size/price filters</t>
  </si>
  <si>
    <t xml:space="preserve">Install a reviews app (Judge.me/Okendo) and add a guarantee strip — PDPs like /products/original-detroit-hoodie-1991 have zero trust signals</t>
  </si>
  <si>
    <t xml:space="preserve">Turn on Search &amp; Discovery filters for /collections/* (facets exist only on /search), add breadcrumbs, and expand 25-45-word product descriptions with fit/fabric</t>
  </si>
  <si>
    <t xml:space="preserve">Retire or restart /blogs/news-1 (last post 2016), add an FAQ page, and replace the map-only /pages/retailers with a text list of stores, addresses and hours</t>
  </si>
  <si>
    <t xml:space="preserve">Deep, logical taxonomy (Plants &gt; Evergreens &gt; Arborvitae-Upright) with breadcrumbs on both category and product pages</t>
  </si>
  <si>
    <t xml:space="preserve">Content authority: Good Advice blog updated Aug 2026, a 24-question FAQ, monthly tips, and plant warranty terms spelled out</t>
  </si>
  <si>
    <t xml:space="preserve">Per-store stock on PDPs ('In Stock' at Plymouth/Royal Oak) plus six locations with addresses, phones, hours and a corporate office page</t>
  </si>
  <si>
    <t xml:space="preserve">Fix Yoast sitemaps: enable product/product_cat/page/post sitemaps (all 404) and disable the 47 pa_* attribute sitemaps; noindex attachment pages</t>
  </si>
  <si>
    <t xml:space="preserve">Show a price and 'Add to cart' (or 'Reserve for pickup') on every PDP - Christmas silks show no price, only 'Check Store for Availability'</t>
  </si>
  <si>
    <t xml:space="preserve">Add alt text to product images, a Terms &amp; Conditions page and accessibility statement in the footer, and attribute filters on category pages</t>
  </si>
  <si>
    <t xml:space="preserve">PDP depth: full ingredient list, guaranteed analysis, 9-image gallery with alt text, Add to Cart with curbside/delivery/Autoship (save up to 35%)</t>
  </si>
  <si>
    <t xml:space="preserve">Localized store context in the header (Livonia address, phone, today's hours) with per-store landing pages</t>
  </si>
  <si>
    <t xml:space="preserve">Learning Center article library plus FAQ topics, and a clear 30-day return policy</t>
  </si>
  <si>
    <t xml:space="preserve">Rewrite the homepage &lt;title&gt; 'Home | Pet Supplies Plus' as brand + category + location, and add breadcrumbs (Dog &gt; Food &gt; Dry) to PDPs</t>
  </si>
  <si>
    <t xml:space="preserve">Server-render price and stock on PDPs - they show '$List Price' and 'Availability: loader' until store-specific JS resolves</t>
  </si>
  <si>
    <t xml:space="preserve">Make robots.txt and sitemap.xml return 200 to standard crawlers (both 403 to fetchers), add a shipping/delivery policy page, date Learning Center articles</t>
  </si>
  <si>
    <t xml:space="preserve">Large wine catalog (7,000+ items) with was/special pricing, savings %, In-stock status, SKU and a structured spec table</t>
  </si>
  <si>
    <t xml:space="preserve">Add to Cart directly from category cards and PDPs, 'You may also like' cross-sells, sort and per-page controls</t>
  </si>
  <si>
    <t xml:space="preserve">Skip-to-content link and social profile links on every store page; robots.txt blocks sort/mode duplicates and checkout</t>
  </si>
  <si>
    <t xml:space="preserve">Allowlist search crawlers past the 'Client Challenge' gate (blocks home, contact, locations, shipping and wp-sitemap.xml) and add a Magento product sitemap to robots.txt</t>
  </si>
  <si>
    <t xml:space="preserve">Add layered filters (country, varietal, region, price) and breadcrumbs to /store/wine.html - 611 pages with sort only today</t>
  </si>
  <si>
    <t xml:space="preserve">Fix data: Frey Cabernet lists 'Grape Varietals: Champagne Blend'; make the $18 'Wine Shipment' a checkout shipping method, not a product; dedupe the home title</t>
  </si>
  <si>
    <t xml:space="preserve">Full transactional Magento catalog: live prices, sale pricing (-13%), 'Available, Call First' and warehouse/special-order status on every product</t>
  </si>
  <si>
    <t xml:space="preserve">Concrete Delivery Policy: $150/$250/$500 zone minimums or $15/$25/$50 fees, 1-2 business-day guarantee, UPS nationwide, 6% MI tax note</t>
  </si>
  <si>
    <t xml:space="preserve">Working site search, seven sort keys and layered price/availability filters across a three-level category tree</t>
  </si>
  <si>
    <t xml:space="preserve">robots.txt: remove 'User-agent: * Disallow: /' and publish an XML sitemap with a Sitemap: line (none at /sitemap.xml) so non-Google engines and AI crawlers can index the catalog</t>
  </si>
  <si>
    <t xml:space="preserve">Product pages: fix stale titles/URLs (title 'Shadow Black Nitrile…' vs H1 'Black Widow'), typos ('Recommened', 'Cosmotolgy'), expand copy past 50 words and move mil/size/pack into the attribute table instead of 'Is Featured Attribute'</t>
  </si>
  <si>
    <t xml:space="preserve">Add Returns/Refund and Terms pages, replace the default Magento privacy text (UK 'Data Protection Act 1998'), and publish one street address — About says Clinton Twp HQ, Delivery Policy says 14 Mile Rd/Groesbeck (Fraser)</t>
  </si>
  <si>
    <t xml:space="preserve">Solid technical base: HTTPS, clean robots.txt with Sitemap line, 89-URL sitemap, canonical + specific meta descriptions on home, Product Range and brand pages</t>
  </si>
  <si>
    <t xml:space="preserve">B2B CTAs everywhere ('Become a Customer', 'Carry Lipari', 'Book a Demo') backed by a real Connect page (phone, email, Warren address) and a 650-word Our Story</t>
  </si>
  <si>
    <t xml:space="preserve">Fresh, categorized News &amp; Trends hub: WGA Vendor of the Year post dated Aug 20, 2026, Forkcast magazine, filters by post type</t>
  </si>
  <si>
    <t xml:space="preserve">Make the catalog visible: compass.liparifoods.com (Cut+Dry) renders only a loading GIF without JS/login — add public category pages with sample items, pack sizes and a 'login for pricing' note, and fix sitemap /lip-product-range/* URLs that redirect to /product-range/</t>
  </si>
  <si>
    <t xml:space="preserve">Add a Locations/Service Area page listing the 65 depots and 32+ states (Connect shows only Warren HQ), a header site search, and retitle the homepage to 'Lipari Foods | Specialty Food Distributor, Warren MI'</t>
  </si>
  <si>
    <t xml:space="preserve">Add breadcrumbs, replace filename alt text ('ob-product-wholey-*') and add alt to category images, publish a prospective-customer FAQ (minimums, delivery days) and show dates on the News &amp; Trends listing</t>
  </si>
  <si>
    <t xml:space="preserve">Clear conversion paths on the homepage: vehicle/size tire finder, 'Schedule Appointment', and manufacturer rebates with expiry dates</t>
  </si>
  <si>
    <t xml:space="preserve">Strong guarantees: beat-any-competitor price promise, free lifetime tire maintenance, a price-match page and financing options</t>
  </si>
  <si>
    <t xml:space="preserve">Clean robots.txt with an 11-file sitemap index, per-vehicle finder URLs, and a privacy policy updated Jan 2026 with a contact email</t>
  </si>
  <si>
    <t xml:space="preserve">Server-render title, meta description and canonical tags - served HTML for home, /faq, /stores and tire PDPs has none; content is JS-only</t>
  </si>
  <si>
    <t xml:space="preserve">Clean sitemap-0.xml: remove 'https://test-page/' and 'page-not-found-error-rebate', and add lastmod to sitemap-index.xml</t>
  </si>
  <si>
    <t xml:space="preserve">Publish a real About page (/our-company is 404) and the Terms of Use the privacy policy cites; add a skip-to-content link</t>
  </si>
  <si>
    <t xml:space="preserve">Complete XML sitemap (~350 URLs) covering every product and category page</t>
  </si>
  <si>
    <t xml:space="preserve">1,100-word founder story (1912) plus a QVC award badge, two Detroit addresses, hours, phone and a reCAPTCHA contact form</t>
  </si>
  <si>
    <t xml:space="preserve">Store locator with zip/city search, plus a blog of recipes and roasting how-tos</t>
  </si>
  <si>
    <t xml:space="preserve">Publish /robots.txt with 'Sitemap: https://www.germack.com/sitemap.xml' (currently 404), add canonical tags site-wide, refresh sitemap lastmod (all 2017)</t>
  </si>
  <si>
    <t xml:space="preserve">Replace the site-wide 'Germack Pistachio' &lt;title&gt; with unique titles (e.g. 'Dark Chocolate Almonds 12oz | Germack Pistachio Co., Detroit') and add missing PDP meta descriptions</t>
  </si>
  <si>
    <t xml:space="preserve">Add filters, sort and breadcrumbs to /shop,* category pages; add a shipping policy (rates, free-shipping threshold, transit time) linked from PDPs</t>
  </si>
  <si>
    <t xml:space="preserve">Clean WordPress brand site with canonicals, permissive robots + Yoast sitemap index, and a 1907-to-today history timeline</t>
  </si>
  <si>
    <t xml:space="preserve">Shop PDP shows price, 'In stock' status and structured Flavor/Size selectors with an 'Add to Cart' button</t>
  </si>
  <si>
    <t xml:space="preserve">Terms, Privacy and Store Policies (return window, ship timelines) linked from every footer on both domains</t>
  </si>
  <si>
    <t xml:space="preserve">Rebuild the shop catalog: one SKU 'Case of Faygo' with no description - create per-flavor products with copy, images, alt text and a category tree</t>
  </si>
  <si>
    <t xml:space="preserve">Add meta descriptions site-wide (none on home, flavors, PDP), rename 'Homepage | Faygo Inc', and give the shop a robots.txt Sitemap line + sitemap.xml</t>
  </si>
  <si>
    <t xml:space="preserve">Publish shipping rates and cut the 4-6 week beverage lead time; fix the 'Only %1 left' placeholder; add reviews and a street address/phone to Contact</t>
  </si>
  <si>
    <t xml:space="preserve">Clear B2B onboarding: 'Become a Customer' nav → Jotform application with credit app, three trade references, ACH details and spelled-out terms (cash to driver, then 7-day ACH)</t>
  </si>
  <si>
    <t xml:space="preserve">Strong story and contact layer: ~1,100-word About (since 1939, three generations), phone, two street addresses, sales email and form, MCSB award badge</t>
  </si>
  <si>
    <t xml:space="preserve">Specific homepage meta description ('supplying restaurants in southeast Michigan for over 71 years') with canonical tags and clean slugs on every page</t>
  </si>
  <si>
    <t xml:space="preserve">Fix crawl basics: robots.txt is empty and /sitemap.xml serves the homepage HTML — add a real robots.txt pointing to /sitemap_index.xml, redirect /sitemap.xml to it, and retitle the homepage to 'Atlas Wholesale Food | Foodservice Distributor, Detroit MI'</t>
  </si>
  <si>
    <t xml:space="preserve">Publish a public product-range page with categories, sample items and pack sizes plus a 'login for pricing' note, link Online Ordering over https (nav uses http://atlaswholesale.pepr.app), and add alt text to the 30+ brand logos</t>
  </si>
  <si>
    <t xml:space="preserve">Add Terms, a delivery/minimums policy and an FAQ; refresh In the News (newest item 2024) and rename the Jotform titled 'Clone of Atlas Wholesale Customer Registration Form'</t>
  </si>
  <si>
    <t xml:space="preserve">Areas Served states the delivery footprint plainly: daily next-day delivery east to Port Huron, north to Bay City, west to Grand Rapids/Midland/Jackson, south to Northern Ohio</t>
  </si>
  <si>
    <t xml:space="preserve">Food Safety page documents HACCP planning and FDA/USDA/AIB/Michigan Dept of Education inspections — the credibility institutional buyers need</t>
  </si>
  <si>
    <t xml:space="preserve">Clean HTTPS site with canonical tags and readable URLs on every page, plus dedicated market pages for K-12 and Healthcare</t>
  </si>
  <si>
    <t xml:space="preserve">SEO basics: publish an XML sitemap (none at /sitemap.xml, /wp-sitemap.xml or /sitemap_index.xml) with a Sitemap: line in robots.txt, and rewrite the homepage title/meta ('Sun Valley Foods' / 'SunValleyFoods.com') to 'Institutional Foodservice Distributor, Detroit MI'</t>
  </si>
  <si>
    <t xml:space="preserve">Add a Become a Customer page/application and a 'login for pricing' note beside Customer Orders; switch that link from http://www.sunvalleyfoods.com/erp to https and make it a prominent CTA on the homepage and Our Products</t>
  </si>
  <si>
    <t xml:space="preserve">Put the Detroit street address, phone and hours on Contact Us and in the footer (only a CAPTCHA form exists), add social links and a skip link, and expand Our Products into category pages with sample items and pack sizes</t>
  </si>
  <si>
    <t xml:space="preserve">Clean technical SEO baseline: robots.txt with Sitemap line, sitemap index with 32 product + 42 collection URLs, canonicals and unique titles/meta descriptions on 20/20 sampled PDPs, Product+Offer+FAQPage JSON-LD on every PDP (captures/fh_pdp_sample_summary.json).</t>
  </si>
  <si>
    <t xml:space="preserve">In review</t>
  </si>
  <si>
    <t xml:space="preserve">Native Shopify Search &amp; Discovery metafield filters (Gender, Life Stage, Health Benefit, Key Ingredients, Made Without, Product Form, Lifestyle, FSA/HSA) plus 9 sort options on collections and a working search results page (captures/fh_collections_female-fertility-supplements.html).</t>
  </si>
  <si>
    <t xml:space="preserve">Consistent PDP template on 20/20 sampled products: Key benefits / Ingredients / Suggested Use / Product Description / FAQ / Frequently Bought Together, Stamped review counts (up to 1,921), Recharge 10% subscribe widget, and prices that match products.json and collection cards on 20/20 (captures/fh_pdp_sample_summary.json).</t>
  </si>
  <si>
    <t xml:space="preserve">Footer 'Shop' nav and sitemap: remove or refill empty collections - /collections/shop-pregnancy ('0 products'), /collections/pregnancy-and-ovulation-tests ('No products found'), /collections/private (0 products) and /collections/ovulation-prediction (1 sold-out lubricant); set 'Pregnancy'/'Ovulation' footer links to live collections or unpublish them from the Online Store channel.</t>
  </si>
  <si>
    <t xml:space="preserve">Promotions: the '30% OFF LIMITED-TIME OFFER - SELECT SIZES - APPLIED IN CART' badge sits on 5 single-variant products (FertileCM, FertiliTea, Milkies, Complete Lactation Support, Menopause Multivitamin Essentials) while PDP/card/JSON-LD still show full price and compare_at_price is null on 32/32 products - use compare-at pricing or a Shopify Function discount that renders the sale price on card and PDP, and fix the 'select sizes' copy.</t>
  </si>
  <si>
    <t xml:space="preserve">Catalog data: fill product_type on 32/32 products (blank today vs 0/112 blank on bariatricfusion.com), normalize the 32 tags (three spellings of 'vaginal care', internal tags like exclude_rebuy/fam-fhpro-men mixed with merchandising tags), and move Supplement Facts from image-only (*_SFP.jpg on 17/20 PDPs) into a metafield rendered as an HTML table.</t>
  </si>
  <si>
    <t xml:space="preserve">Footer “Shop” links and the sitemap point at empty collections</t>
  </si>
  <si>
    <t xml:space="preserve">3 of 8 footer collection links · 4 of 42 sitemap collections · 32 products vs 42 collections</t>
  </si>
  <si>
    <t xml:space="preserve">Collections &amp; navigation QA</t>
  </si>
  <si>
    <t xml:space="preserve">The posting's first duty is collections, navigation and “routine QA checks for broken links and content discrepancies.” A footer link to zero products is the purchase-path dead end that role exists to catch.</t>
  </si>
  <si>
    <t xml:space="preserve">Unpublish shop-pregnancy, pregnancy-products, pregnancy-and-ovulation-tests, private, uncategorized and fairhaven-health from the Online Store channel so they leave the sitemap; retitle the survivors; repoint the footer “Pregnancy” link to /collections/prenatal and remove “Ovulation Prediction”; run the collection-health check below every Monday.</t>
  </si>
  <si>
    <t xml:space="preserve">fh_collections_shop-pregnancy.html, fh_collections_pregnancy-and-ovulation-tests.html, fh_collections_ovulation-prediction_products.json, fh_collections.json, fh_sitemap_collections_1.xml, fh_home.html</t>
  </si>
  <si>
    <t xml:space="preserve">Prototyped</t>
  </si>
  <si>
    <t xml:space="preserve">A sold-out product is the #2 item on All Products and in the search drawer sitewide</t>
  </si>
  <si>
    <t xml:space="preserve">position 2 of 32 on /collections/all · position 2 of 3 in “Trending Now” on 32 of 32 captured pages</t>
  </si>
  <si>
    <t xml:space="preserve">Sort defaults &amp; discoverability</t>
  </si>
  <si>
    <t xml:space="preserve">The first screen of All Products and the search drawer are the two highest-traffic merchandising slots on the store, and both lead with something nobody can buy.</t>
  </si>
  <si>
    <t xml:space="preserve">Set All Products to Best selling (or manual with sold-out last); turn on “push sold-out to the bottom” in Search &amp; Discovery; point the theme's Trending Now block at a curated collection; add the available flag from products.json to the weekly QA sheet so any sold-out SKU in a top-8 slot is flagged.</t>
  </si>
  <si>
    <t xml:space="preserve">fh_collections_all.html, fh_home.html, fh_pages_contactus.html, fh_products.json, vn_collections_all.html</t>
  </si>
  <si>
    <t xml:space="preserve">“30% OFF – select sizes” badges on single-variant products while every price still shows full</t>
  </si>
  <si>
    <t xml:space="preserve">5 of 32 products badged · 5 of 5 single-variant · 0 of 5 show a reduced price · 0 of 32 use compare-at pricing</t>
  </si>
  <si>
    <t xml:space="preserve">Promotions &amp; pricing QA</t>
  </si>
  <si>
    <t xml:space="preserve">“Pricing issues” and “promotions” are explicit QA duties, and an Offer.price that differs from the checkout price is a Merchant Center and Shop app mismatch waiting to be flagged.</t>
  </si>
  <si>
    <t xml:space="preserve">Run the promotion as compare-at pricing on the affected variants (bulk editor) or as a Shopify Functions discount surfaced in the theme's price block so badge, price and JSON-LD agree; make the badge copy conditional on variant count; adopt a five-step promo launch check — badge → price display → JSON-LD → subscription price → cart total — on one badged PDP before go-live.</t>
  </si>
  <si>
    <t xml:space="preserve">fh_products_fertilecm-cervical-mucus-supplement.html, fh_collections_all.html, fh_products.json, bf_products.json, vn_products.json, unjury_products.json</t>
  </si>
  <si>
    <t xml:space="preserve">Supplement Facts live only in JPGs; product_type and tags are unusable for merchandising</t>
  </si>
  <si>
    <t xml:space="preserve">facts panel image-only on 17 of 20 PDPs · Ingredients accordion ≤19 words on 15 of 20 · product_type blank on 32 of 32 · 32 tags on 32 products</t>
  </si>
  <si>
    <t xml:space="preserve">PDP content &amp; product attributes</t>
  </si>
  <si>
    <t xml:space="preserve">Product attributes, SKU-level monitoring and feeds all key off product_type and tags, and text that exists only inside a JPG cannot be searched, filtered or read by a screen reader.</t>
  </si>
  <si>
    <t xml:space="preserve">Add a custom.supplement_facts metafield and render it as a table inside the Ingredients accordion (keep the image as a second view); set Shopify's standard Product Category plus a house product_type list on all 32 products via CSV; move internal flags to a custom.internal_flags metafield and collapse the three vaginal-care tags into one; a products.json diff before and after is the acceptance test.</t>
  </si>
  <si>
    <t xml:space="preserve">fh_pdp_sample_summary.json, fh_products_fh-pro-for-women.html, fh_products_milkies-nursing-postnatal-breastfeeding-multivitamin.html, fh_products.json, bf_products.json</t>
  </si>
  <si>
    <t xml:space="preserve">Every sampled PDP title truncates in search; no rating or breadcrumb schema; no H1 on the homepage</t>
  </si>
  <si>
    <t xml:space="preserve">20 of 20 titles at 73–91 characters · 13 of 20 descriptions end “Learn more…” · 0 of 20 with aggregateRating · 0 of 20 with BreadcrumbList · 20 of 20 og:image over http</t>
  </si>
  <si>
    <t xml:space="preserve">On-page SEO &amp; digital-shelf scorecard</t>
  </si>
  <si>
    <t xml:space="preserve">The posting asks for on-page SEO, content scorecards and organic search visibility; these are the cheapest measurable wins on the digital shelf.</t>
  </si>
  <si>
    <t xml:space="preserve">Rewrite titles to ≤60 characters with the product first and the brand last (bulk editor or the search-engine-listing field) and replace the “Learn more…” tail; wrap the hero headline in an h1; enable Stamped's rich-snippet JSON-LD; add a BreadcrumbList snippet to main-product.liquid; set the social image URL to https. Track title length and schema presence per SKU in the weekly scorecard.</t>
  </si>
  <si>
    <t xml:space="preserve">fh_pdp_sample_summary.json, fh_home.html, fh_products_fh-pro-for-women.html, bf_products_glp-one.html, vn_products_glp-1-complete.html</t>
  </si>
  <si>
    <t xml:space="preserve">Four stores, four conventions: policies, shipping promises and shared-SKU names diverge</t>
  </si>
  <si>
    <t xml:space="preserve">4 themes · 4 policy-URL patterns · 3 free-shipping thresholds ($35 / $49 / $100) from one warehouse · 28 of 89 shared SKUs titled differently · 1 live “copy-of-” handle + 5 “-1” handles · 7 empty descriptions on Vital Nutrients</t>
  </si>
  <si>
    <t xml:space="preserve">Portfolio operating cadence</t>
  </si>
  <si>
    <t xml:space="preserve">The role is defined as “a documented, repeatable operating cadence across the portfolio.” These are the places where one owner and one checklist would show up immediately.</t>
  </si>
  <si>
    <t xml:space="preserve">Publish a one-page portfolio standard (policy handles, free-shipping copy, processing and transit language taken from the 3PL's real SLA, subscription discount) and align each store to it; keep a master SKU sheet (SKU → canonical title → price → subscription %) and reconcile bariatricfusion.com and unjury.com by CSV; rename the copy-of and -1 handles with 301 redirects; copy the kids-line section copy into body_html so Shop and Google feeds get a description.</t>
  </si>
  <si>
    <t xml:space="preserve">fh_pages_shipping-and-returns.html, bf_pages_shipping-policy.html, vn_pages_shipping-policy.html, unjury_pages_shipping-return-policy.html, bf_products.json, unjury_products.json, bf_products_copy-of-calcium-variety-pack.html, vn_products_tummy-troopers-probiotic.html</t>
  </si>
  <si>
    <t xml:space="preserve">Exact part-number search works: /catalogsearch/result/?q=FI-TE-04LLMK-W3-MS returns the one matching SKU with price and Add to Cart, and results pages are correctly noindexed</t>
  </si>
  <si>
    <t xml:space="preserve">Product JSON-LD is unusually complete for a small distributor: Product, Offer with price/currency, shippingDetails (handling 2-5 days, $9.99) and MerchantReturnPolicy, plus BreadcrumbList on every PDP and category</t>
  </si>
  <si>
    <t xml:space="preserve">The Engineering Toolbox (/engineering-toolbox/) is a genuine in-browser hydraulic calculator suite (cylinder force/area/speed, pumps, conversions) with 'Shop Cylinders' links back into the catalog</t>
  </si>
  <si>
    <t xml:space="preserve">Give the ~20,000 products with no URL key a url_key (Magento admin bulk 'Update attributes' or import) so the sitemap stops listing /catalog/product/view/id/N/ URLs that robots.txt itself disallows; then regenerate the sitemap</t>
  </si>
  <si>
    <t xml:space="preserve">Replace the single site-wide meta description on every PDP/CMS page with a Magento product meta template ({{name}} {{brand}} - Federal Fluid Power) and move thread size / port / material / pressure from the title string into filterable attributes</t>
  </si>
  <si>
    <t xml:space="preserve">Fix the shared footer: change '© 2023 Patriot Hydraulics' to Federal Fluid Power 2026, point 'Shipping Policy'/'Return Policy' to real pages instead of /terms/, replace the two '#' links (Order History, Order Tracking), and set the header phone to 734-455-1722 instead of Patriot's 734-479-9641</t>
  </si>
  <si>
    <t xml:space="preserve">37% of sitemap product URLs have no URL key and are blocked by robots.txt</t>
  </si>
  <si>
    <t xml:space="preserve">20,242 of 54,496 URLs (37.1%) across the three sitemap files fetched · 3 of 3 sampled pages return 200 with a robots-blocked canonical</t>
  </si>
  <si>
    <t xml:space="preserve">ERP → Magento product data</t>
  </si>
  <si>
    <t xml:space="preserve">The role owns ERP-to-Magento product data, and a missing url_key on ~20,000 SKUs is exactly the kind of import-mapping gap that silently removes products from search.</t>
  </si>
  <si>
    <t xml:space="preserve">Filter the product grid for URL Key = empty, bulk-update (or re-import a CSV) with url_key = slugified name + SKU, reindex catalog_url_rewrite, regenerate the sitemap and verify no /catalog/product/view/ URLs remain. Keep the Disallow so the numeric duplicates never index.</t>
  </si>
  <si>
    <t xml:space="preserve">robots.txt, sitemap_005.xml, sitemap_009.xml, pdp_catalog_product_view_id_101454.html, pdp_catalog_product_view_id_97434.html, pdp_catalog_product_view_id_310140.html</t>
  </si>
  <si>
    <t xml:space="preserve">Specs live inside the title string; where attributes exist the values are dirty</t>
  </si>
  <si>
    <t xml:space="preserve">18 of 19 PDPs with only Name / SKU / Weight / Brand · 0 of 19 with a thread, port, material or pressure attribute · Cylinders: 6 of 17 Bore values are inch-mark twins, 72 of 142 Bore×Stroke values are x/X twins, 2 values are Excel date serials</t>
  </si>
  <si>
    <t xml:space="preserve">Product attributes &amp; layered navigation</t>
  </si>
  <si>
    <t xml:space="preserve">“Keep product data accurate” and “build listings with attributes” is the core of this role; these are the errors a buyer hits when filtering.</t>
  </si>
  <si>
    <t xml:space="preserve">Define thread_size, port_size, material, pressure_rating, pack_qty and mfr_part_number in an attribute set per product line; parse them out of existing names with a one-off script (the parser below is that script); normalize option values — strip inch marks, lowercase x, one unit convention — under Manage Options; re-export the cylinder CSV with text-formatted columns so 3/8 never becomes 44628 again.</t>
  </si>
  <si>
    <t xml:space="preserve">pdp_sample.csv, category_hydraulics-1_cylinders-1.html, pdp_bv3-04-npt.html, pdp_fi-ge-06llm6x1k-w3-ms-6010000421.html</t>
  </si>
  <si>
    <t xml:space="preserve">Price and availability contradict each other — the public symptoms of an unmapped ERP sync</t>
  </si>
  <si>
    <t xml:space="preserve">9 of 19 PDPs are Request-Pricing-only, and 8 of those 9 declare InStock in schema · 1 of 19 prints $0.00 · Chairs &amp; Creepers page 1: 20 of 20 unpriced · a $40,000–$50,000 price bucket on couplings</t>
  </si>
  <si>
    <t xml:space="preserve">Inventory &amp; price sync</t>
  </si>
  <si>
    <t xml:space="preserve">The posting names the Magento-ERP integration and inventory accuracy; these are what a buyer, and Google, see when quantity and price fields do not map cleanly.</t>
  </si>
  <si>
    <t xml:space="preserve">Map ERP quantity and price into qty, is_in_stock and price on every sync run and key the RFQ module off is_salable; render Magento's stock-status block on PDPs; set Offer availability to OutOfStock or BackOrder (or drop the Offer) when the button is RFQ; add a sync alert for price = 0 or price &gt; $10,000 on fittings.</t>
  </si>
  <si>
    <t xml:space="preserve">pdp_fi-ge-06llm6x1k-w3-ms-6010000421.html, pdp_catalog_product_view_id_101454.html, category_couplings.html, category_couplings_p2.html, category_chairs-and-creepers.html, pdp_sample.csv</t>
  </si>
  <si>
    <t xml:space="preserve">Manufacturer logos stand in for product photos on tens of thousands of SKUs</t>
  </si>
  <si>
    <t xml:space="preserve">10 of 19 sampled PDPs show a supplier logo as the only image · sitemap-wide, 35,744 of 51,918 products (69%) share a generic first image · 512 have no image at all</t>
  </si>
  <si>
    <t xml:space="preserve">Product imagery</t>
  </si>
  <si>
    <t xml:space="preserve">The role writes copy, attributes and images for the store; a logo where the part should be is the single most visible content gap for a buyer comparing fittings.</t>
  </si>
  <si>
    <t xml:space="preserve">Pull supplier line-drawing and CAD sets (Stauff, Tompkins and Poclain publish them) and import by SKU via Import → Products with base_image, small_image and thumbnail; use a per-family drawing as the fallback instead of the logo; set a Magento image placeholder so the 512 image-less SKUs stop rendering blank; fix the tile alts.</t>
  </si>
  <si>
    <t xml:space="preserve">pdp_sample.csv, sitemap_001.xml, sitemap_005.xml, sitemap_009.xml, pdp_dshg-03-3c4-d24-n1-14-dir-valve-pilot-operated.html, homepage.html</t>
  </si>
  <si>
    <t xml:space="preserve">Documented</t>
  </si>
  <si>
    <t xml:space="preserve">One meta description sitewide, code-only titles, and three URL layers for the same part</t>
  </si>
  <si>
    <t xml:space="preserve">19 of 19 PDPs + 7 of 7 content pages share one description · 11 of 19 titles are the bare part code · 12 of 17 sitemap product URLs return 200 with a different canonical · 2,361 of 2,484 category URLs (95%) end in -1/-2/-3 · 58 homepage links into an alias category tree</t>
  </si>
  <si>
    <t xml:space="preserve">Content editing at catalog scale</t>
  </si>
  <si>
    <t xml:space="preserve">“Content editor” for a 52,000-SKU catalog means templates, not hand edits, and the crawl budget is currently spent on duplicates of the same part.</t>
  </si>
  <si>
    <t xml:space="preserve">Set product meta templates under Product Fields Auto-Generation ({{name}} | {{brand}} hydraulic {{category}} | Federal Fluid Power, and a description from name + brand + first spec); set Use Categories Path for Product URLs to No with permanent redirects on key change; run a URL-rewrite cleanup so old keys 301 instead of 200; relink the homepage grid to canonical category URLs; remove the second breadcrumb block from the Hyvä template.</t>
  </si>
  <si>
    <t xml:space="preserve">pdp_sample.csv, pdp_700018114.html, pdp_hp-10y-4-50-x10-00-yellow-hose-protector.html, category_couplings.html, homepage.html, sitemap_001.xml</t>
  </si>
  <si>
    <t xml:space="preserve">Federal's pages carry Patriot Hydraulics' copyright and phone number; policy links go to the wrong pages</t>
  </si>
  <si>
    <t xml:space="preserve">2 wrong-brand strings on every page · Shipping and Return Policy both link to /terms/ · 2 “#” footer links · 6 test/junk pages in the sitemap · the same typo on 19 of 19 PDPs · 2 of 2 SKUs duplicated across both domains</t>
  </si>
  <si>
    <t xml:space="preserve">Multi-store hygiene</t>
  </si>
  <si>
    <t xml:space="preserve">These are the first things a customer sees, and each is a ten-minute fix inside Content → Blocks and Pages for someone who owns the multi-store setup.</t>
  </si>
  <si>
    <t xml:space="preserve">Scope the footer and header blocks to the Federal store view (copyright, phone); create real Shipping and Returns pages and relink the footer; disable the test pages and drop them from the sitemap; assign a proper no-route page; fix the typo in the PDP template; choose one canonical domain per SKU or noindex the Patriot copies.</t>
  </si>
  <si>
    <t xml:space="preserve">homepage.html, terms_shipping-policy.html, ffp-terms-conditions-of-sale.html, sitemap_009.xml, career.html, brand_patriot-hydraulics.html, patriot_homepage.html, patriot_pdp_fi-te-04llmk-w3-ms-6010000456.html</t>
  </si>
  <si>
    <t xml:space="preserve">Fresh homepage merchandising: the 4-slide hero uses creative dated 2026-09-09 to 2026-09-23 (e.g. /img/homepage_slider/B2B_S_USAManu_20260923.jpg) and every slide links to a live 200 page.</t>
  </si>
  <si>
    <t xml:space="preserve">Deep, well-labelled product imagery: 5051 ships 107 alt-view images across 28 colors with alts like 'Unisex Short Sleeve Tee BLACK Back'; wrong product slugs and CGI product URLs 301 to the correct pretty URL.</t>
  </si>
  <si>
    <t xml:space="preserve">Clear B2B commercial terms: public wholesale pricing, free freight &gt;= $350 with the $9.95 handling fee stated, returns with RA number/20% restocking/10-day window, phone + HQ address + hours on /customer-service.</t>
  </si>
  <si>
    <t xml:space="preserve">Add &lt;link rel=canonical&gt; (self-referencing pretty URL) to /index, every /Category/ page and every /product/ page, and 301 http:// and https://royalapparel.net to https://www.royalapparel.net (currently all return 200).</t>
  </si>
  <si>
    <t xml:space="preserve">Rebuild sitemap.xml from the pretty URLs: drop the 408 redirecting catalog_browse.p entries, the cart/login/checkout/404 entries and the 200-status 'Product Not Found' products (e.g. /product/15250006/USA-Team-Beanie.html); add lastmod to the 248 product URLs.</t>
  </si>
  <si>
    <t xml:space="preserve">Merge the two Product LD+JSON blocks on each PDP into one with brand, sku/mpn, image, offers.url, offers.availability (schema.org/InStock) and remove the hardcoded aggregateRating 5/326 unless it comes from real reviews; add BreadcrumbList.</t>
  </si>
  <si>
    <t xml:space="preserve">The homepage is a meta-refresh stub; four hostnames answer 200 and no page carries a canonical</t>
  </si>
  <si>
    <t xml:space="preserve">4 of 4 host/protocol variants return 200 · 0 of 24 HTML pages with a canonical · lowercase /category/men/ also 200</t>
  </si>
  <si>
    <t xml:space="preserve">Technical SEO</t>
  </si>
  <si>
    <t xml:space="preserve">The posting owns technical SEO and GEO. With no canonicals and four live hostnames, link equity and AI-crawler citations split across duplicates, and the homepage's own signals point at an empty stub.</t>
  </si>
  <si>
    <t xml:space="preserve">At the web server: 301 http → https and non-www → www; serve the homepage at / and 301 /index to it (or the reverse — one of the two); delete the stub. In the layout template: a self-referencing canonical on every page built from the pretty path. Case-fold category paths and 301 the slash-less form.</t>
  </si>
  <si>
    <t xml:space="preserve">home-root.html, home-root-nonwww.html, redirect-chains.txt, home-marketing-p.html, index.txt</t>
  </si>
  <si>
    <t xml:space="preserve">The sitemap is 38% redirects, lists checkout and login pages, and serves dead products as 200</t>
  </si>
  <si>
    <t xml:space="preserve">408 of 1,063 URLs are redirecting CGI category links · 16 cart/login/checkout pages · 0 of 248 product URLs with lastmod · 3 of 20 sampled products dead or obsolete but 200</t>
  </si>
  <si>
    <t xml:space="preserve">Deactivate discontinued items · crawlability</t>
  </si>
  <si>
    <t xml:space="preserve">“Deactivate discontinued items” is the posting's first merchandising duty; a sitemap that spends 40% of its entries on redirects and lists the checkout tells Google the catalog is unmaintained.</t>
  </si>
  <si>
    <t xml:space="preserve">Regenerate the sitemap nightly from the catalog: only www pretty URLs (/index, /Category/…/, /Accessory-Type/…/, /product/{style}/{slug}.html, landing pages) with a real lastmod per product; exclude obsolete items, Product-Not-Found styles and every CGI template; serve it on the www host and update robots.txt. Return 404 or 410 for retired styles and 301 obsolete styles to their replacement where the PDP already names one.</t>
  </si>
  <si>
    <t xml:space="preserve">sitemap.xml, sitemap-urls.txt, robots.txt, product-15250006.html, product-20055.html, product-32112.html, pdp-sample-analysis.json</t>
  </si>
  <si>
    <t xml:space="preserve">Product schema is split in two, blank on availability, and carries the same 5★ / 326-review rating on every product</t>
  </si>
  <si>
    <t xml:space="preserve">19 of 19 PDPs with two Product blocks · 19 of 19 with Offer.availability “” · 19 of 19 identical aggregateRating 5 / 326 · 0 of 20 BreadcrumbList, og:image, GTIN or MPN · 150 of 150 color hexes set to FFFFFF</t>
  </si>
  <si>
    <t xml:space="preserve">Feeds &amp; structured data</t>
  </si>
  <si>
    <t xml:space="preserve">The posting asks for feed optimization and marketplace product data. Google's product rich results need one Product with brand, offers.availability and an authentic rating; a sitewide fabricated review count is what gets Merchant Center listings disapproved.</t>
  </si>
  <si>
    <t xml:space="preserve">In the product template, output one Product: name, sku/mpn (the style code), brand (Royal Apparel, or Basic Supply Co. when the mill code is BSC), the image array, plain-text description, an AggregateOffer from the low/high wholesale price with availability derived from the same quantity the page already uses, no aggregateRating unless it comes from real reviews, plus BreadcrumbList and og:image. Fill hexColor from the swatch palette and export GTIN per SKU in the feed.</t>
  </si>
  <si>
    <t xml:space="preserve">product-5051.html, product-5001W.html, product-5051-prodJSON.json, pdp-sample-analysis.json</t>
  </si>
  <si>
    <t xml:space="preserve">GA4 receives products without names, views without currency and no list attribution</t>
  </si>
  <si>
    <t xml:space="preserve">21 of 21 category impressions with blank item_name and item_brand · 20 of 20 view_item pushes without currency or brand · page-level push array-wrapped on every template · 0 view_item_list or select_item events anywhere</t>
  </si>
  <si>
    <t xml:space="preserve">Validate GA4 and tag-manager tracking</t>
  </si>
  <si>
    <t xml:space="preserve">The posting says “validate GA4 and tag-manager tracking” and build the dashboards. With these payloads, item reports show IDs without names, revenue-less views and no attribution for the merchandising the coordinator is meant to optimize.</t>
  </si>
  <si>
    <t xml:space="preserve">Change the page push to a plain object; emit view_item_list on listings with item_list_id, item_list_name and complete items (name from the description, brand from the mill code, numeric price, index) and select_item on click; send view_item with currency, value and item-level price, brand and variant; replace the UA-shaped related push with a second view_item_list; standardize add_to_cart on currency. Verify in GTM Preview and GA4 DebugView, then add a data-quality tile (name and price coverage) to the dashboard.</t>
  </si>
  <si>
    <t xml:space="preserve">home-marketing-p.html, category-men.html, product-5051.html, product-5001W.html, js-catalog_product.js</t>
  </si>
  <si>
    <t xml:space="preserve">Category grid: 21 of 136 Men's products in the HTML, $0.00 tiles, “New” on everything, Men = Unisex</t>
  </si>
  <si>
    <t xml:space="preserve">21 of 136 products (15%) present in HTML · 3 of 21 tiles at $0.00 · 21 of 21 flagged new · position 1 is an imported tee · Men (136) = Unisex (136) · 90 of 359 images without alt</t>
  </si>
  <si>
    <t xml:space="preserve">Website merchandising</t>
  </si>
  <si>
    <t xml:space="preserve">Tagged product groups, sort order, deactivating items and category curation are the core of the posting, and the data shows the levers are not being used.</t>
  </si>
  <si>
    <t xml:space="preserve">Server-render the first page of cards with real pagination links and a canonical; give custom-dye programs a “Request pricing” tile instead of $0.00; reset isNew to a 60-day window from the street date; canonicalize Men to Unisex or curate a distinct Men's assortment; 301 the Face-Cover slug to /Category/Accessories/; pin Royal-made styles above Basic Supply Co. imports on USA-positioned categories and in style-number search.</t>
  </si>
  <si>
    <t xml:space="preserve">category-men.html, category-men-browse-data.json, category-face-cover-accessories.html, search-5051.html</t>
  </si>
  <si>
    <t xml:space="preserve">Size charts are images labelled “Pick your color”, no product video, a News page with no news, a footer link that 404s sitewide</t>
  </si>
  <si>
    <t xml:space="preserve">18 chart images, 0 tables · 13 of 15 chart alts read “Pick your color” · 0 of 19 PDPs with video · 0 dated posts on /in-the-news · 1 footer link → 404 on every page · 38 of 38 image filenames are timestamps</t>
  </si>
  <si>
    <t xml:space="preserve">Content, photography, video</t>
  </si>
  <si>
    <t xml:space="preserve">An AI answer engine cannot read a size chart that is a JPEG labelled “Pick your color,” and a news page with no news undercuts the story the company is paying trade press to tell.</t>
  </si>
  <si>
    <t xml:space="preserve">Rebuild the size charts as HTML tables (one per fit, inch and cm) and surface the matching table in the PDP Specs tab; fix the 13 alts. Publish the three 2025–26 stories on /in-the-news with dates and NewsArticle schema, then a monthly cadence from new-style drops. Point Eco-Certifications at a real page or remove it. Shoot short colorway clips for the top 20 styles and set the video fields the template already reads. Name new uploads by style and color.</t>
  </si>
  <si>
    <t xml:space="preserve">product-specifications.html, in-the-news.html, home-marketing-p.html, pdp-sample-analysis.json, index.txt</t>
  </si>
  <si>
    <t xml:space="preserve">#</t>
  </si>
  <si>
    <t xml:space="preserve">Project / employer</t>
  </si>
  <si>
    <t xml:space="preserve">What I did</t>
  </si>
  <si>
    <t xml:space="preserve">Before</t>
  </si>
  <si>
    <t xml:space="preserve">After / result</t>
  </si>
  <si>
    <t xml:space="preserve">Source of the number</t>
  </si>
  <si>
    <t xml:space="preserve">What would make it measured</t>
  </si>
  <si>
    <t xml:space="preserve">Résumé line it supports</t>
  </si>
  <si>
    <t xml:space="preserve">Universal Wholesale &amp; United Textile (2019–2024)</t>
  </si>
  <si>
    <t xml:space="preserve">Built and ran two storefronts in parallel (WooCommerce + Shopify); catalog maintained by bulk CSV</t>
  </si>
  <si>
    <t xml:space="preserve">—</t>
  </si>
  <si>
    <t xml:space="preserve">14,000+ SKUs maintained: pricing, collections, categories, descriptions, images, SEO metadata</t>
  </si>
  <si>
    <t xml:space="preserve">Résumé; portfolio ‘Counted, not claimed’ tile (Universal Wholesale)</t>
  </si>
  <si>
    <t xml:space="preserve">Stated</t>
  </si>
  <si>
    <t xml:space="preserve">Export the product CSV row count from the store admin and date it</t>
  </si>
  <si>
    <t xml:space="preserve">Owned product setup and catalog data for 14,000+ SKUs</t>
  </si>
  <si>
    <t xml:space="preserve">United Textile (Shopify)</t>
  </si>
  <si>
    <t xml:space="preserve">Moved the catalog from an offline inventory system into a new Shopify store</t>
  </si>
  <si>
    <t xml:space="preserve">0 products online</t>
  </si>
  <si>
    <t xml:space="preserve">1,000 products live in Shopify</t>
  </si>
  <si>
    <t xml:space="preserve">Portfolio tile (United Textile)</t>
  </si>
  <si>
    <t xml:space="preserve">Shopify products export with the launch date</t>
  </si>
  <si>
    <t xml:space="preserve">Migrated 1,000 products from an offline inventory system into Shopify</t>
  </si>
  <si>
    <t xml:space="preserve">Universal Wholesale / United Textile</t>
  </si>
  <si>
    <t xml:space="preserve">Technical and on-page SEO after the platform migration; redirects and URL structure kept intact</t>
  </si>
  <si>
    <t xml:space="preserve">Not ranking for target queries</t>
  </si>
  <si>
    <t xml:space="preserve">Google pages 1–2 for target queries within the first year</t>
  </si>
  <si>
    <t xml:space="preserve">Résumé (‘improved organic rankings to Google pages 1–2 within the first year’)</t>
  </si>
  <si>
    <t xml:space="preserve">Approximate</t>
  </si>
  <si>
    <t xml:space="preserve">Search Console query report screenshots before/after (if property access remains) — name the queries</t>
  </si>
  <si>
    <t xml:space="preserve">Took organic rankings to Google pages 1–2 within the first year</t>
  </si>
  <si>
    <t xml:space="preserve">Universal Wholesale</t>
  </si>
  <si>
    <t xml:space="preserve">Led the RepZio B2B platform migration with redirect mapping</t>
  </si>
  <si>
    <t xml:space="preserve">Old platform URLs</t>
  </si>
  <si>
    <t xml:space="preserve">Migration completed with redirects mapped</t>
  </si>
  <si>
    <t xml:space="preserve">Résumé</t>
  </si>
  <si>
    <t xml:space="preserve">Count of redirect rules in the map; 404 report after cut-over</t>
  </si>
  <si>
    <t xml:space="preserve">Managed redirects and URL structure through migrations; led the RepZio B2B migration</t>
  </si>
  <si>
    <t xml:space="preserve">Wild Bill’s Tobacco (2024–2025)</t>
  </si>
  <si>
    <t xml:space="preserve">Administered two corporate sites and the wholesale B2B store; operated the catalog</t>
  </si>
  <si>
    <t xml:space="preserve">~9,000-product catalog operated: accuracy, pricing, descriptions, imagery</t>
  </si>
  <si>
    <t xml:space="preserve">WooCommerce product count export, dated</t>
  </si>
  <si>
    <t xml:space="preserve">Operated a ~9,000-product wholesale catalog</t>
  </si>
  <si>
    <t xml:space="preserve">The Deals Operating System (own build)</t>
  </si>
  <si>
    <t xml:space="preserve">Promotion-accuracy QA workbook + walkthrough for a multi-location retailer (modeled as Northgate Retail Group)</t>
  </si>
  <si>
    <t xml:space="preserve">Promotions checked by hand</t>
  </si>
  <si>
    <t xml:space="preserve">16 checks every promotion passes before it reaches a menu</t>
  </si>
  <si>
    <t xml:space="preserve">Portfolio tile; The Lab</t>
  </si>
  <si>
    <t xml:space="preserve">Measured (the checks exist)</t>
  </si>
  <si>
    <t xml:space="preserve">Count of promotions run through the sheet and the errors it caught in one month</t>
  </si>
  <si>
    <t xml:space="preserve">Built a 16-check promotion QA system</t>
  </si>
  <si>
    <t xml:space="preserve">ASAS Studio (own product)</t>
  </si>
  <si>
    <t xml:space="preserve">Elementor block library</t>
  </si>
  <si>
    <t xml:space="preserve">3,881 real Elementor blocks (asas.build)</t>
  </si>
  <si>
    <t xml:space="preserve">Portfolio tile — note: the master résumé says ‘4,038 Elementor templates’; reconcile to one number</t>
  </si>
  <si>
    <t xml:space="preserve">Measured</t>
  </si>
  <si>
    <t xml:space="preserve">Count from the ASAS database, dated</t>
  </si>
  <si>
    <t xml:space="preserve">Built ASAS Studio, a library of 3,881 Elementor blocks</t>
  </si>
  <si>
    <t xml:space="preserve">Independent reviews (Sept 2026)</t>
  </si>
  <si>
    <t xml:space="preserve">Independent, evidence-backed storefront reviews with working prototypes, one per application</t>
  </si>
  <si>
    <t xml:space="preserve">0</t>
  </si>
  <si>
    <t xml:space="preserve">22 reviews published on mousabatarseh.com/reviews (Sept 2026); DiaMedical USA answered one with a formal interview project and an onsite interview</t>
  </si>
  <si>
    <t xml:space="preserve">mousabatarseh.com/reviews; DiaMedical correspondence</t>
  </si>
  <si>
    <t xml:space="preserve">Measured (counts) / Stated (response)</t>
  </si>
  <si>
    <t xml:space="preserve">Log every reply per review on the Outreach sheet; report replies ÷ reviews monthly</t>
  </si>
  <si>
    <t xml:space="preserve">Published 22 independent storefront reviews; one led directly to an interview</t>
  </si>
  <si>
    <t xml:space="preserve">ShelfMark — Michigan Storefront Benchmark (own build)</t>
  </si>
  <si>
    <t xml:space="preserve">Scored 21 Michigan storefronts on 29 public-page checks</t>
  </si>
  <si>
    <t xml:space="preserve">609 scored observations with evidence; live index + workbook</t>
  </si>
  <si>
    <t xml:space="preserve">ShelfMark workbook README</t>
  </si>
  <si>
    <t xml:space="preserve">Built ShelfMark, a 29-check storefront benchmark of 21 Michigan stores</t>
  </si>
  <si>
    <t xml:space="preserve">Carhartt Reworked review (Sept 2026)</t>
  </si>
  <si>
    <t xml:space="preserve">Read the resale store’s full public feed</t>
  </si>
  <si>
    <t xml:space="preserve">3,545 listings and 124 collections read; 10 findings, 4 working fixes</t>
  </si>
  <si>
    <t xml:space="preserve">mousabatarseh.com/reworked-review</t>
  </si>
  <si>
    <t xml:space="preserve">Reviewed Carhartt Reworked end to end: 3,545 listings, 124 collections</t>
  </si>
  <si>
    <t xml:space="preserve">Blueroot Health review (Sept 28, 2026)</t>
  </si>
  <si>
    <t xml:space="preserve">Four Shopify stores read with the engine</t>
  </si>
  <si>
    <t xml:space="preserve">397 products across four stores; six findings; Fairhaven scored 95/100 (would rank 1st of 21)</t>
  </si>
  <si>
    <t xml:space="preserve">targets/blueroot</t>
  </si>
  <si>
    <t xml:space="preserve">Royal Apparel review (Sept 28, 2026)</t>
  </si>
  <si>
    <t xml:space="preserve">Custom-platform B2B store read with the engine</t>
  </si>
  <si>
    <t xml:space="preserve">1,063 sitemap URLs classified; 0 of 24 pages with a canonical; six findings, five fixes</t>
  </si>
  <si>
    <t xml:space="preserve">targets/royal-apparel</t>
  </si>
  <si>
    <t xml:space="preserve">Federal Fluid Power review (Sept 28, 2026)</t>
  </si>
  <si>
    <t xml:space="preserve">52,000-SKU Magento catalog read with the engine</t>
  </si>
  <si>
    <t xml:space="preserve">54,496 sitemap URLs read; 20,242 keyless product URLs found; six findings, six fixes</t>
  </si>
  <si>
    <t xml:space="preserve">targets/federal-fluid-power</t>
  </si>
  <si>
    <t xml:space="preserve">PageSpeed Insights (a site he runs)</t>
  </si>
  <si>
    <t xml:space="preserve">Performance work on a production site</t>
  </si>
  <si>
    <t xml:space="preserve">Near-perfect PSI scores (Performance, Accessibility, Best Practices, SEO)</t>
  </si>
  <si>
    <t xml:space="preserve">Own statement</t>
  </si>
  <si>
    <t xml:space="preserve">Approximate — site and date not recorded here</t>
  </si>
  <si>
    <t xml:space="preserve">Name the site; save the dated PSI report PDF next to this sheet</t>
  </si>
  <si>
    <t xml:space="preserve">Near-perfect Core Web Vitals on a production site</t>
  </si>
  <si>
    <t xml:space="preserve">Measured = a count or export exists. Stated = said on the résumé without an artifact. Approximate = a real outcome without a baseline. Only Measured rows go on the résumé as numbers; Stated rows are written as scope, not results.</t>
  </si>
  <si>
    <t xml:space="preserve">Company</t>
  </si>
  <si>
    <t xml:space="preserve">Role</t>
  </si>
  <si>
    <t xml:space="preserve">The one finding in the message</t>
  </si>
  <si>
    <t xml:space="preserve">Title</t>
  </si>
  <si>
    <t xml:space="preserve">Channel</t>
  </si>
  <si>
    <t xml:space="preserve">Sent</t>
  </si>
  <si>
    <t xml:space="preserve">Follow-up</t>
  </si>
  <si>
    <t xml:space="preserve">Reply</t>
  </si>
  <si>
    <t xml:space="preserve">DTC Operations Manager</t>
  </si>
  <si>
    <t xml:space="preserve">Domenic DiSiena</t>
  </si>
  <si>
    <t xml:space="preserve">Head of eCommerce (per ZoomInfo; LinkedIn headline: Senior Ecommerce &amp; Digital Executive)</t>
  </si>
  <si>
    <t xml:space="preserve">LinkedIn InMail</t>
  </si>
  <si>
    <t xml:space="preserve">Drafted</t>
  </si>
  <si>
    <t xml:space="preserve">Erin Anthony</t>
  </si>
  <si>
    <t xml:space="preserve">Chief Marketing Officer</t>
  </si>
  <si>
    <t xml:space="preserve">LinkedIn connection note</t>
  </si>
  <si>
    <t xml:space="preserve">Full Stack IT Specialist, E-Commerce Developer &amp; Content Editor</t>
  </si>
  <si>
    <t xml:space="preserve">Ryan Barringer</t>
  </si>
  <si>
    <t xml:space="preserve">President (BBB principal contact); Sales &amp; Applications Engineer on LinkedIn</t>
  </si>
  <si>
    <t xml:space="preserve">Email + LinkedIn connection note</t>
  </si>
  <si>
    <t xml:space="preserve">Mark Barringer</t>
  </si>
  <si>
    <t xml:space="preserve">General Manager</t>
  </si>
  <si>
    <t xml:space="preserve">Digital Marketing &amp; Ecommerce Coordinator</t>
  </si>
  <si>
    <t xml:space="preserve">Glen Brumer</t>
  </si>
  <si>
    <t xml:space="preserve">Sales Director</t>
  </si>
  <si>
    <t xml:space="preserve">Morey Mayeri</t>
  </si>
  <si>
    <t xml:space="preserve">Founder</t>
  </si>
  <si>
    <t xml:space="preserve">One message per person, within 48 hours of applying: the private review link and ONE finding. Follow up once after 7 days, then move on. Log every reply.</t>
  </si>
  <si>
    <t xml:space="preserve">The notes that go with a review</t>
  </si>
  <si>
    <t xml:space="preserve">InMail to the hiring manager (≤120 words)</t>
  </si>
  <si>
    <t xml:space="preserve">Subject: [Company]'s storefront — one thing I found, and a full review</t>
  </si>
  <si>
    <t xml:space="preserve">Hi [First name] — I applied for the [Role] and, before I did, I read [store] the way the posting describes the job: [scope in a phrase, e.g. four stores, 397 products, no logins].</t>
  </si>
  <si>
    <t xml:space="preserve">One finding: [the count — e.g. 3 of the 8 footer Shop links open an empty collection]. The full review, with working fixes and the QA sheet, is here (private link): mousabatarseh.com/[path]/</t>
  </si>
  <si>
    <t xml:space="preserve">Everything comes from public pages and it opens with what the store does well. If it's useful, I'd welcome 20 minutes to walk through it. — Mousa Batarseh, Warren MI · hireme@mousabatarseh.com</t>
  </si>
  <si>
    <t xml:space="preserve">Connection note (≤300 characters)</t>
  </si>
  <si>
    <t xml:space="preserve">Hi [First name], I applied for [Company]'s [Role] and reviewed [store] first — [one count]. The review with working fixes: mousabatarseh.com/[path]/. Glad to connect. Mousa</t>
  </si>
  <si>
    <t xml:space="preserve">Email to a named person (when no LinkedIn route)</t>
  </si>
  <si>
    <t xml:space="preserve">Subject: [Role] application — a review of [store] to go with it</t>
  </si>
  <si>
    <t xml:space="preserve">Hi [First name],</t>
  </si>
  <si>
    <t xml:space="preserve">I applied for the [Role] on [date]. To show how I'd work rather than say it, I reviewed [store] from its public pages first: [scope]. It opens with three things the store does well, then [N] findings with counts, and [N] working fixes. Private link: mousabatarseh.com/[path]/ — résumé and cover letter are attached.</t>
  </si>
  <si>
    <t xml:space="preserve">The one I'd start with: [finding + count + why in one sentence].</t>
  </si>
  <si>
    <t xml:space="preserve">Thank you — Mousa Batarseh · (248) 810-1816 · hireme@mousabatarseh.com</t>
  </si>
  <si>
    <t xml:space="preserve">Name one strength before the finding. Never send a finding that isn't on the Findings sheet. One follow-up after 7 days. Keep the page noindex; the link is private to the person you send it to. Log the row on Outreach the same day.</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</si>
</sst>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8"/>
      <color rgb="FF1F1D1A"/>
      <name val="Arial"/>
      <family val="0"/>
      <charset val="1"/>
    </font>
    <font>
      <sz val="11"/>
      <color rgb="FF6B6660"/>
      <name val="Arial"/>
      <family val="0"/>
      <charset val="1"/>
    </font>
    <font>
      <b val="true"/>
      <sz val="10"/>
      <color rgb="FF1F1D1A"/>
      <name val="Arial"/>
      <family val="0"/>
      <charset val="1"/>
    </font>
    <font>
      <sz val="10"/>
      <color rgb="FF1F1D1A"/>
      <name val="Arial"/>
      <family val="0"/>
      <charset val="1"/>
    </font>
    <font>
      <b val="true"/>
      <sz val="10"/>
      <color rgb="FFFFFFFF"/>
      <name val="Arial"/>
      <family val="0"/>
      <charset val="1"/>
    </font>
    <font>
      <u val="single"/>
      <sz val="10"/>
      <color rgb="FF0000FF"/>
      <name val="Arial"/>
      <family val="0"/>
      <charset val="1"/>
    </font>
    <font>
      <sz val="8"/>
      <color rgb="FF6B6660"/>
      <name val="Arial"/>
      <family val="0"/>
      <charset val="1"/>
    </font>
    <font>
      <b val="true"/>
      <sz val="11"/>
      <color rgb="FF1F1D1A"/>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F1D1A"/>
        <bgColor rgb="FF333300"/>
      </patternFill>
    </fill>
    <fill>
      <patternFill patternType="solid">
        <fgColor rgb="FFE8EEFF"/>
        <bgColor rgb="FFE2F0D9"/>
      </patternFill>
    </fill>
    <fill>
      <patternFill patternType="solid">
        <fgColor rgb="FFFFFF00"/>
        <bgColor rgb="FFFFFF00"/>
      </patternFill>
    </fill>
  </fills>
  <borders count="2">
    <border diagonalUp="false" diagonalDown="false">
      <left/>
      <right/>
      <top/>
      <bottom/>
      <diagonal/>
    </border>
    <border diagonalUp="false" diagonalDown="false">
      <left style="thin">
        <color rgb="FFD9D4CA"/>
      </left>
      <right style="thin">
        <color rgb="FFD9D4CA"/>
      </right>
      <top style="thin">
        <color rgb="FFD9D4CA"/>
      </top>
      <bottom style="thin">
        <color rgb="FFD9D4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5" fontId="0" fillId="0" borderId="1" xfId="0" applyFont="fals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6" fontId="0" fillId="0" borderId="1" xfId="0" applyFont="false" applyBorder="true" applyAlignment="true" applyProtection="false">
      <alignment horizontal="center" vertical="top" textRotation="0" wrapText="false" indent="0" shrinkToFit="false"/>
      <protection locked="true" hidden="false"/>
    </xf>
    <xf numFmtId="167" fontId="11"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0"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6" fontId="0" fillId="3" borderId="1" xfId="0" applyFont="false" applyBorder="true" applyAlignment="true" applyProtection="false">
      <alignment horizontal="general" vertical="top" textRotation="0" wrapText="false" indent="0" shrinkToFit="false"/>
      <protection locked="true" hidden="false"/>
    </xf>
    <xf numFmtId="165" fontId="10" fillId="3" borderId="1" xfId="0" applyFont="true" applyBorder="true" applyAlignment="true" applyProtection="false">
      <alignment horizontal="center" vertical="top" textRotation="0" wrapText="false" indent="0" shrinkToFit="false"/>
      <protection locked="true" hidden="false"/>
    </xf>
    <xf numFmtId="166" fontId="0" fillId="3" borderId="1" xfId="0" applyFont="false" applyBorder="true" applyAlignment="true" applyProtection="false">
      <alignment horizontal="center" vertical="top" textRotation="0" wrapText="false" indent="0" shrinkToFit="false"/>
      <protection locked="true" hidden="false"/>
    </xf>
    <xf numFmtId="167" fontId="11" fillId="3" borderId="1" xfId="0" applyFont="true" applyBorder="true" applyAlignment="true" applyProtection="false">
      <alignment horizontal="general" vertical="top" textRotation="0" wrapText="false" indent="0" shrinkToFit="false"/>
      <protection locked="true" hidden="false"/>
    </xf>
    <xf numFmtId="164" fontId="0" fillId="3" borderId="1" xfId="0" applyFont="false" applyBorder="true" applyAlignment="true" applyProtection="false">
      <alignment horizontal="center" vertical="top" textRotation="0" wrapText="fals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7" fontId="13" fillId="0" borderId="1" xfId="0" applyFont="true" applyBorder="true" applyAlignment="true" applyProtection="false">
      <alignment horizontal="center" vertical="top" textRotation="0" wrapText="false" indent="0" shrinkToFit="false"/>
      <protection locked="true" hidden="false"/>
    </xf>
    <xf numFmtId="167" fontId="13" fillId="3"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F1D1A"/>
          <bgColor rgb="FF000000"/>
        </patternFill>
      </fill>
    </dxf>
    <dxf>
      <fill>
        <patternFill patternType="solid">
          <fgColor rgb="FFE8EEF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6B6660"/>
          <bgColor rgb="FF000000"/>
        </patternFill>
      </fill>
    </dxf>
    <dxf>
      <fill>
        <patternFill patternType="solid">
          <fgColor rgb="FFC6EFCE"/>
          <bgColor rgb="FF000000"/>
        </patternFill>
      </fill>
    </dxf>
    <dxf>
      <fill>
        <patternFill patternType="solid">
          <fgColor rgb="FFE2F0D9"/>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bgColor rgb="FFC6EFCE"/>
        </patternFill>
      </fill>
    </dxf>
    <dxf>
      <fill>
        <patternFill>
          <bgColor rgb="FFE2F0D9"/>
        </patternFill>
      </fill>
    </dxf>
    <dxf>
      <fill>
        <patternFill>
          <bgColor rgb="FFFFF2CC"/>
        </patternFill>
      </fill>
    </dxf>
    <dxf>
      <fill>
        <patternFill>
          <bgColor rgb="FFFCE4D6"/>
        </patternFill>
      </fill>
    </dxf>
    <dxf>
      <fill>
        <patternFill>
          <bgColor rgb="FFF8CBAD"/>
        </patternFill>
      </fill>
    </dxf>
    <dxf>
      <fill>
        <patternFill patternType="solid">
          <fgColor rgb="FFFFFF00"/>
          <bgColor rgb="FF000000"/>
        </patternFill>
      </fill>
    </dxf>
    <dxf>
      <fill>
        <patternFill patternType="solid">
          <fgColor rgb="FF008000"/>
          <bgColor rgb="FF000000"/>
        </patternFill>
      </fill>
    </dxf>
    <dxf>
      <fill>
        <patternFill patternType="solid">
          <fgColor rgb="FF1F3FBF"/>
          <bgColor rgb="FF000000"/>
        </patternFill>
      </fill>
    </dxf>
    <dxf>
      <fill>
        <patternFill patternType="solid">
          <fgColor rgb="FFC8451F"/>
          <bgColor rgb="FF000000"/>
        </patternFill>
      </fill>
    </dxf>
    <dxf>
      <font>
        <name val="Arial"/>
        <charset val="1"/>
        <family val="0"/>
        <b val="1"/>
        <color rgb="FFC8451F"/>
      </font>
    </dxf>
    <dxf>
      <font>
        <name val="Arial"/>
        <charset val="1"/>
        <family val="0"/>
        <b val="1"/>
        <color rgb="FF1F3FB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EEFF"/>
      <rgbColor rgb="FF660066"/>
      <rgbColor rgb="FFFF8080"/>
      <rgbColor rgb="FF0066CC"/>
      <rgbColor rgb="FFD9D4CA"/>
      <rgbColor rgb="FF000080"/>
      <rgbColor rgb="FFFF00FF"/>
      <rgbColor rgb="FFFFFF00"/>
      <rgbColor rgb="FF00FFFF"/>
      <rgbColor rgb="FF800080"/>
      <rgbColor rgb="FF800000"/>
      <rgbColor rgb="FF008080"/>
      <rgbColor rgb="FF0000FF"/>
      <rgbColor rgb="FF00CCFF"/>
      <rgbColor rgb="FFE2F0D9"/>
      <rgbColor rgb="FFC6EFCE"/>
      <rgbColor rgb="FFFCE4D6"/>
      <rgbColor rgb="FF99CCFF"/>
      <rgbColor rgb="FFFF99CC"/>
      <rgbColor rgb="FFCC99FF"/>
      <rgbColor rgb="FFF8CBAD"/>
      <rgbColor rgb="FF3366FF"/>
      <rgbColor rgb="FF33CCCC"/>
      <rgbColor rgb="FF99CC00"/>
      <rgbColor rgb="FFFFCC00"/>
      <rgbColor rgb="FFFF9900"/>
      <rgbColor rgb="FFFF6600"/>
      <rgbColor rgb="FF6B6660"/>
      <rgbColor rgb="FF969696"/>
      <rgbColor rgb="FF003366"/>
      <rgbColor rgb="FF339966"/>
      <rgbColor rgb="FF003300"/>
      <rgbColor rgb="FF333300"/>
      <rgbColor rgb="FFC8451F"/>
      <rgbColor rgb="FF993366"/>
      <rgbColor rgb="FF1F3FBF"/>
      <rgbColor rgb="FF1F1D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stormykromer.com/" TargetMode="External"/><Relationship Id="rId2" Type="http://schemas.openxmlformats.org/officeDocument/2006/relationships/hyperlink" Target="https://www.gardner-white.com/" TargetMode="External"/><Relationship Id="rId3" Type="http://schemas.openxmlformats.org/officeDocument/2006/relationships/hyperlink" Target="https://www.cherryrepublic.com/" TargetMode="External"/><Relationship Id="rId4" Type="http://schemas.openxmlformats.org/officeDocument/2006/relationships/hyperlink" Target="https://www.spoon.com/" TargetMode="External"/><Relationship Id="rId5" Type="http://schemas.openxmlformats.org/officeDocument/2006/relationships/hyperlink" Target="https://www.bissell.com/" TargetMode="External"/><Relationship Id="rId6" Type="http://schemas.openxmlformats.org/officeDocument/2006/relationships/hyperlink" Target="https://www.la-z-boy.com/" TargetMode="External"/><Relationship Id="rId7" Type="http://schemas.openxmlformats.org/officeDocument/2006/relationships/hyperlink" Target="https://www.shinola.com/" TargetMode="External"/><Relationship Id="rId8" Type="http://schemas.openxmlformats.org/officeDocument/2006/relationships/hyperlink" Target="https://www.zingermans.com/" TargetMode="External"/><Relationship Id="rId9" Type="http://schemas.openxmlformats.org/officeDocument/2006/relationships/hyperlink" Target="https://www.dunhamssports.com/" TargetMode="External"/><Relationship Id="rId10" Type="http://schemas.openxmlformats.org/officeDocument/2006/relationships/hyperlink" Target="https://www.apparelwholesaledepot.com/" TargetMode="External"/><Relationship Id="rId11" Type="http://schemas.openxmlformats.org/officeDocument/2006/relationships/hyperlink" Target="https://www.madeindetroit.com/" TargetMode="External"/><Relationship Id="rId12" Type="http://schemas.openxmlformats.org/officeDocument/2006/relationships/hyperlink" Target="https://www.englishgardens.com/" TargetMode="External"/><Relationship Id="rId13" Type="http://schemas.openxmlformats.org/officeDocument/2006/relationships/hyperlink" Target="https://www.petsuppliesplus.com/" TargetMode="External"/><Relationship Id="rId14" Type="http://schemas.openxmlformats.org/officeDocument/2006/relationships/hyperlink" Target="https://www.plummarket.com/" TargetMode="External"/><Relationship Id="rId15" Type="http://schemas.openxmlformats.org/officeDocument/2006/relationships/hyperlink" Target="https://macombwholesale.net/" TargetMode="External"/><Relationship Id="rId16" Type="http://schemas.openxmlformats.org/officeDocument/2006/relationships/hyperlink" Target="https://liparifoods.com/" TargetMode="External"/><Relationship Id="rId17" Type="http://schemas.openxmlformats.org/officeDocument/2006/relationships/hyperlink" Target="https://www.belletire.com/" TargetMode="External"/><Relationship Id="rId18" Type="http://schemas.openxmlformats.org/officeDocument/2006/relationships/hyperlink" Target="https://www.germack.com/" TargetMode="External"/><Relationship Id="rId19" Type="http://schemas.openxmlformats.org/officeDocument/2006/relationships/hyperlink" Target="https://www.faygo.com/" TargetMode="External"/><Relationship Id="rId20" Type="http://schemas.openxmlformats.org/officeDocument/2006/relationships/hyperlink" Target="https://www.atlaswholesalefood.com/" TargetMode="External"/><Relationship Id="rId21" Type="http://schemas.openxmlformats.org/officeDocument/2006/relationships/hyperlink" Target="https://www.sunvalleyfoods.com/" TargetMode="External"/><Relationship Id="rId22" Type="http://schemas.openxmlformats.org/officeDocument/2006/relationships/hyperlink" Target="https://www.fairhavenhealth.com/" TargetMode="External"/><Relationship Id="rId23" Type="http://schemas.openxmlformats.org/officeDocument/2006/relationships/hyperlink" Target="https://mousabatarseh.com/blueroot-review/" TargetMode="External"/><Relationship Id="rId24" Type="http://schemas.openxmlformats.org/officeDocument/2006/relationships/hyperlink" Target="https://federalfp.com/" TargetMode="External"/><Relationship Id="rId25" Type="http://schemas.openxmlformats.org/officeDocument/2006/relationships/hyperlink" Target="https://mousabatarseh.com/federal-fluid-power-review/" TargetMode="External"/><Relationship Id="rId26" Type="http://schemas.openxmlformats.org/officeDocument/2006/relationships/hyperlink" Target="https://www.royalapparel.net/" TargetMode="External"/><Relationship Id="rId27" Type="http://schemas.openxmlformats.org/officeDocument/2006/relationships/hyperlink" Target="https://mousabatarseh.com/royal-apparel-review/" TargetMode="External"/><Relationship Id="rId28"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6"/>
  </cols>
  <sheetData>
    <row r="2" customFormat="false" ht="22.05" hidden="false" customHeight="false" outlineLevel="0" collapsed="false">
      <c r="B2" s="1" t="s">
        <v>0</v>
      </c>
    </row>
    <row r="3" customFormat="false" ht="15" hidden="false" customHeight="false" outlineLevel="0" collapsed="false">
      <c r="B3" s="2" t="s">
        <v>1</v>
      </c>
    </row>
    <row r="5" customFormat="false" ht="60" hidden="false" customHeight="true" outlineLevel="0" collapsed="false">
      <c r="B5" s="3" t="s">
        <v>2</v>
      </c>
      <c r="C5" s="4" t="s">
        <v>3</v>
      </c>
    </row>
    <row r="6" customFormat="false" ht="75" hidden="false" customHeight="true" outlineLevel="0" collapsed="false">
      <c r="B6" s="3" t="s">
        <v>4</v>
      </c>
      <c r="C6" s="4" t="s">
        <v>5</v>
      </c>
    </row>
    <row r="7" customFormat="false" ht="105" hidden="false" customHeight="true" outlineLevel="0" collapsed="false">
      <c r="B7" s="3" t="s">
        <v>6</v>
      </c>
      <c r="C7" s="4" t="s">
        <v>7</v>
      </c>
    </row>
    <row r="8" customFormat="false" ht="105" hidden="false" customHeight="true" outlineLevel="0" collapsed="false">
      <c r="B8" s="3" t="s">
        <v>8</v>
      </c>
      <c r="C8" s="4" t="s">
        <v>9</v>
      </c>
    </row>
    <row r="9" customFormat="false" ht="60" hidden="false" customHeight="true" outlineLevel="0" collapsed="false">
      <c r="B9" s="3" t="s">
        <v>10</v>
      </c>
      <c r="C9" s="4" t="s">
        <v>11</v>
      </c>
    </row>
    <row r="10" customFormat="false" ht="30" hidden="false" customHeight="true" outlineLevel="0" collapsed="false">
      <c r="B10" s="3" t="s">
        <v>12</v>
      </c>
      <c r="C10" s="4" t="s">
        <v>13</v>
      </c>
    </row>
    <row r="11" customFormat="false" ht="30" hidden="false" customHeight="true" outlineLevel="0" collapsed="false">
      <c r="B11" s="3" t="s">
        <v>14</v>
      </c>
      <c r="C11"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34"/>
    <col collapsed="false" customWidth="true" hidden="false" outlineLevel="0" max="4" min="4" style="0" width="10"/>
    <col collapsed="false" customWidth="true" hidden="false" outlineLevel="0" max="5" min="5" style="0" width="18"/>
    <col collapsed="false" customWidth="true" hidden="false" outlineLevel="0" max="6" min="6" style="0" width="22"/>
    <col collapsed="false" customWidth="true" hidden="false" outlineLevel="0" max="7" min="7" style="0" width="20"/>
    <col collapsed="false" customWidth="true" hidden="false" outlineLevel="0" max="8" min="8" style="0" width="34"/>
    <col collapsed="false" customWidth="true" hidden="false" outlineLevel="0" max="10" min="9" style="0" width="11"/>
    <col collapsed="false" customWidth="true" hidden="false" outlineLevel="0" max="11" min="11" style="0" width="4"/>
    <col collapsed="false" customWidth="true" hidden="false" outlineLevel="0" max="12" min="12" style="0" width="11"/>
    <col collapsed="false" customWidth="true" hidden="false" outlineLevel="0" max="13" min="13" style="0" width="4"/>
    <col collapsed="false" customWidth="true" hidden="false" outlineLevel="0" max="14" min="14" style="0" width="9"/>
    <col collapsed="false" customWidth="true" hidden="false" outlineLevel="0" max="15" min="15" style="0" width="4"/>
    <col collapsed="false" customWidth="true" hidden="false" outlineLevel="0" max="16" min="16" style="0" width="9"/>
    <col collapsed="false" customWidth="true" hidden="false" outlineLevel="0" max="17" min="17" style="0" width="4"/>
    <col collapsed="false" customWidth="true" hidden="false" outlineLevel="0" max="18" min="18" style="0" width="11"/>
    <col collapsed="false" customWidth="true" hidden="false" outlineLevel="0" max="19" min="19" style="0" width="4"/>
    <col collapsed="false" customWidth="true" hidden="false" outlineLevel="0" max="21" min="20" style="0" width="9"/>
    <col collapsed="false" customWidth="true" hidden="false" outlineLevel="0" max="22" min="22" style="0" width="10"/>
    <col collapsed="false" customWidth="true" hidden="false" outlineLevel="0" max="23" min="23" style="0" width="9"/>
    <col collapsed="false" customWidth="true" hidden="false" outlineLevel="0" max="24" min="24" style="0" width="7"/>
    <col collapsed="false" customWidth="true" hidden="false" outlineLevel="0" max="25" min="25" style="0" width="12"/>
    <col collapsed="false" customWidth="true" hidden="false" outlineLevel="0" max="26" min="26" style="0" width="10"/>
    <col collapsed="false" customWidth="true" hidden="false" outlineLevel="0" max="27" min="27" style="0" width="40"/>
    <col collapsed="false" customWidth="true" hidden="false" outlineLevel="0" max="28" min="28" style="0" width="50"/>
  </cols>
  <sheetData>
    <row r="1" customFormat="false" ht="33.75" hidden="false" customHeight="true" outlineLevel="0" collapsed="false">
      <c r="A1" s="5" t="s">
        <v>16</v>
      </c>
      <c r="B1" s="5" t="s">
        <v>17</v>
      </c>
      <c r="C1" s="5" t="s">
        <v>18</v>
      </c>
      <c r="D1" s="5" t="s">
        <v>19</v>
      </c>
      <c r="E1" s="5" t="s">
        <v>20</v>
      </c>
      <c r="F1" s="5" t="s">
        <v>21</v>
      </c>
      <c r="G1" s="5" t="s">
        <v>22</v>
      </c>
      <c r="H1" s="5" t="s">
        <v>23</v>
      </c>
      <c r="I1" s="5" t="s">
        <v>24</v>
      </c>
      <c r="J1" s="5" t="s">
        <v>25</v>
      </c>
      <c r="K1" s="5" t="s">
        <v>26</v>
      </c>
      <c r="L1" s="5" t="s">
        <v>27</v>
      </c>
      <c r="M1" s="5" t="s">
        <v>28</v>
      </c>
      <c r="N1" s="5" t="s">
        <v>29</v>
      </c>
      <c r="O1" s="5" t="s">
        <v>30</v>
      </c>
      <c r="P1" s="5" t="s">
        <v>31</v>
      </c>
      <c r="Q1" s="5" t="s">
        <v>32</v>
      </c>
      <c r="R1" s="5" t="s">
        <v>33</v>
      </c>
      <c r="S1" s="5" t="s">
        <v>34</v>
      </c>
      <c r="T1" s="5" t="s">
        <v>35</v>
      </c>
      <c r="U1" s="5" t="s">
        <v>36</v>
      </c>
      <c r="V1" s="5" t="s">
        <v>37</v>
      </c>
      <c r="W1" s="5" t="s">
        <v>38</v>
      </c>
      <c r="X1" s="5" t="s">
        <v>39</v>
      </c>
      <c r="Y1" s="5" t="s">
        <v>40</v>
      </c>
      <c r="Z1" s="5" t="s">
        <v>41</v>
      </c>
      <c r="AA1" s="5" t="s">
        <v>42</v>
      </c>
      <c r="AB1" s="5" t="s">
        <v>43</v>
      </c>
    </row>
    <row r="2" customFormat="false" ht="30" hidden="false" customHeight="true" outlineLevel="0" collapsed="false">
      <c r="A2" s="6" t="n">
        <f aca="false">IF(W2="","",RANK(W2,$W$2:$W$25,0))</f>
        <v>2</v>
      </c>
      <c r="B2" s="6" t="n">
        <f aca="false">IF(W2="","",1+COUNTIFS($D$2:$D$25,"Benchmark",$W$2:$W$25,"&gt;"&amp;W2))</f>
        <v>1</v>
      </c>
      <c r="C2" s="7" t="s">
        <v>44</v>
      </c>
      <c r="D2" s="6" t="s">
        <v>45</v>
      </c>
      <c r="E2" s="8" t="s">
        <v>46</v>
      </c>
      <c r="F2" s="8" t="s">
        <v>47</v>
      </c>
      <c r="G2" s="8" t="s">
        <v>48</v>
      </c>
      <c r="H2" s="9" t="s">
        <v>49</v>
      </c>
      <c r="I2" s="6" t="s">
        <v>50</v>
      </c>
      <c r="J2" s="10" t="n">
        <f aca="false">IFERROR(SUMIFS(Checks!$F$2:$F$1297,Checks!$A$2:$A$1297,$C2,Checks!$C$2:$C$1297,"F")/(2*COUNTIFS(Checks!$A$2:$A$1297,$C2,Checks!$C$2:$C$1297,"F",Checks!$F$2:$F$1297,"&gt;=0")),"")</f>
        <v>0.9375</v>
      </c>
      <c r="K2" s="11" t="n">
        <f aca="false">COUNTIFS(Checks!$A$2:$A$1297,$C2,Checks!$C$2:$C$1297,"F",Checks!$F$2:$F$1297,"&gt;=0")</f>
        <v>8</v>
      </c>
      <c r="L2" s="10" t="n">
        <f aca="false">IFERROR(SUMIFS(Checks!$F$2:$F$1297,Checks!$A$2:$A$1297,$C2,Checks!$C$2:$C$1297,"C")/(2*COUNTIFS(Checks!$A$2:$A$1297,$C2,Checks!$C$2:$C$1297,"C",Checks!$F$2:$F$1297,"&gt;=0")),"")</f>
        <v>1</v>
      </c>
      <c r="M2" s="11" t="n">
        <f aca="false">COUNTIFS(Checks!$A$2:$A$1297,$C2,Checks!$C$2:$C$1297,"C",Checks!$F$2:$F$1297,"&gt;=0")</f>
        <v>8</v>
      </c>
      <c r="N2" s="10" t="n">
        <f aca="false">IFERROR(SUMIFS(Checks!$F$2:$F$1297,Checks!$A$2:$A$1297,$C2,Checks!$C$2:$C$1297,"B")/(2*COUNTIFS(Checks!$A$2:$A$1297,$C2,Checks!$C$2:$C$1297,"B",Checks!$F$2:$F$1297,"&gt;=0")),"")</f>
        <v>1</v>
      </c>
      <c r="O2" s="11" t="n">
        <f aca="false">COUNTIFS(Checks!$A$2:$A$1297,$C2,Checks!$C$2:$C$1297,"B",Checks!$F$2:$F$1297,"&gt;=0")</f>
        <v>4</v>
      </c>
      <c r="P2" s="10" t="n">
        <f aca="false">IFERROR(SUMIFS(Checks!$F$2:$F$1297,Checks!$A$2:$A$1297,$C2,Checks!$C$2:$C$1297,"T")/(2*COUNTIFS(Checks!$A$2:$A$1297,$C2,Checks!$C$2:$C$1297,"T",Checks!$F$2:$F$1297,"&gt;=0")),"")</f>
        <v>1</v>
      </c>
      <c r="Q2" s="11" t="n">
        <f aca="false">COUNTIFS(Checks!$A$2:$A$1297,$C2,Checks!$C$2:$C$1297,"T",Checks!$F$2:$F$1297,"&gt;=0")</f>
        <v>5</v>
      </c>
      <c r="R2" s="10" t="n">
        <f aca="false">IFERROR(SUMIFS(Checks!$F$2:$F$1297,Checks!$A$2:$A$1297,$C2,Checks!$C$2:$C$1297,"N")/(2*COUNTIFS(Checks!$A$2:$A$1297,$C2,Checks!$C$2:$C$1297,"N",Checks!$F$2:$F$1297,"&gt;=0")),"")</f>
        <v>0.666666666666667</v>
      </c>
      <c r="S2" s="11" t="n">
        <f aca="false">COUNTIFS(Checks!$A$2:$A$1297,$C2,Checks!$C$2:$C$1297,"N",Checks!$F$2:$F$1297,"&gt;=0")</f>
        <v>3</v>
      </c>
      <c r="T2" s="6" t="n">
        <f aca="false">K2+M2+O2+Q2+S2</f>
        <v>28</v>
      </c>
      <c r="U2" s="12" t="n">
        <f aca="false">T2/29</f>
        <v>0.96551724137931</v>
      </c>
      <c r="V2" s="6" t="str">
        <f aca="false">IF(T2&gt;=26,"High",IF(T2&gt;=20,"Medium","Low"))</f>
        <v>High</v>
      </c>
      <c r="W2" s="13" t="n">
        <f aca="false">IF((IF(K2&gt;0,Rubric!$C$3,0)+IF(M2&gt;0,Rubric!$C$4,0)+IF(O2&gt;0,Rubric!$C$5,0)+IF(Q2&gt;0,Rubric!$C$6,0)+IF(S2&gt;0,Rubric!$C$7,0))=0,"",ROUND(100*(IF(K2&gt;0,Rubric!$C$3*J2,0)+IF(M2&gt;0,Rubric!$C$4*L2,0)+IF(O2&gt;0,Rubric!$C$5*N2,0)+IF(Q2&gt;0,Rubric!$C$6*P2,0)+IF(S2&gt;0,Rubric!$C$7*R2,0))/(IF(K2&gt;0,Rubric!$C$3,0)+IF(M2&gt;0,Rubric!$C$4,0)+IF(O2&gt;0,Rubric!$C$5,0)+IF(Q2&gt;0,Rubric!$C$6,0)+IF(S2&gt;0,Rubric!$C$7,0)),1))</f>
        <v>95.1</v>
      </c>
      <c r="X2" s="14" t="str">
        <f aca="false">IF(W2="","",IF(W2&gt;=Rubric!$C$11,"A",IF(W2&gt;=Rubric!$C$12,"B",IF(W2&gt;=Rubric!$C$13,"C",IF(W2&gt;=Rubric!$C$14,"D","F")))))</f>
        <v>A</v>
      </c>
      <c r="Y2" s="8" t="str">
        <f aca="false">IF(X2="","",IF(X2="A","Benchmark",IF(X2="B","Strong",IF(X2="C","Developing",IF(X2="D","Needs work","At risk")))))</f>
        <v>Benchmark</v>
      </c>
      <c r="Z2" s="8" t="str">
        <f aca="false">IF(COUNT(J2,L2,N2,P2,R2)=0,"",INDEX({"Findability","Catalog","Buy","Trust","Content"},MATCH(MIN(J2,L2,N2,P2,R2),CHOOSE({1,2,3,4,5},J2,L2,N2,P2,R2),0)))</f>
        <v>Content</v>
      </c>
      <c r="AA2" s="8"/>
      <c r="AB2" s="15" t="s">
        <v>51</v>
      </c>
    </row>
    <row r="3" customFormat="false" ht="30" hidden="false" customHeight="true" outlineLevel="0" collapsed="false">
      <c r="A3" s="6" t="n">
        <f aca="false">IF(W3="","",RANK(W3,$W$2:$W$25,0))</f>
        <v>3</v>
      </c>
      <c r="B3" s="6" t="n">
        <f aca="false">IF(W3="","",1+COUNTIFS($D$2:$D$25,"Benchmark",$W$2:$W$25,"&gt;"&amp;W3))</f>
        <v>2</v>
      </c>
      <c r="C3" s="7" t="s">
        <v>52</v>
      </c>
      <c r="D3" s="6" t="s">
        <v>45</v>
      </c>
      <c r="E3" s="8" t="s">
        <v>53</v>
      </c>
      <c r="F3" s="8" t="s">
        <v>54</v>
      </c>
      <c r="G3" s="8" t="s">
        <v>55</v>
      </c>
      <c r="H3" s="9" t="s">
        <v>56</v>
      </c>
      <c r="I3" s="6" t="s">
        <v>50</v>
      </c>
      <c r="J3" s="10" t="n">
        <f aca="false">IFERROR(SUMIFS(Checks!$F$2:$F$1297,Checks!$A$2:$A$1297,$C3,Checks!$C$2:$C$1297,"F")/(2*COUNTIFS(Checks!$A$2:$A$1297,$C3,Checks!$C$2:$C$1297,"F",Checks!$F$2:$F$1297,"&gt;=0")),"")</f>
        <v>0.928571428571429</v>
      </c>
      <c r="K3" s="11" t="n">
        <f aca="false">COUNTIFS(Checks!$A$2:$A$1297,$C3,Checks!$C$2:$C$1297,"F",Checks!$F$2:$F$1297,"&gt;=0")</f>
        <v>7</v>
      </c>
      <c r="L3" s="10" t="n">
        <f aca="false">IFERROR(SUMIFS(Checks!$F$2:$F$1297,Checks!$A$2:$A$1297,$C3,Checks!$C$2:$C$1297,"C")/(2*COUNTIFS(Checks!$A$2:$A$1297,$C3,Checks!$C$2:$C$1297,"C",Checks!$F$2:$F$1297,"&gt;=0")),"")</f>
        <v>0.916666666666667</v>
      </c>
      <c r="M3" s="11" t="n">
        <f aca="false">COUNTIFS(Checks!$A$2:$A$1297,$C3,Checks!$C$2:$C$1297,"C",Checks!$F$2:$F$1297,"&gt;=0")</f>
        <v>6</v>
      </c>
      <c r="N3" s="10" t="n">
        <f aca="false">IFERROR(SUMIFS(Checks!$F$2:$F$1297,Checks!$A$2:$A$1297,$C3,Checks!$C$2:$C$1297,"B")/(2*COUNTIFS(Checks!$A$2:$A$1297,$C3,Checks!$C$2:$C$1297,"B",Checks!$F$2:$F$1297,"&gt;=0")),"")</f>
        <v>1</v>
      </c>
      <c r="O3" s="11" t="n">
        <f aca="false">COUNTIFS(Checks!$A$2:$A$1297,$C3,Checks!$C$2:$C$1297,"B",Checks!$F$2:$F$1297,"&gt;=0")</f>
        <v>3</v>
      </c>
      <c r="P3" s="10" t="n">
        <f aca="false">IFERROR(SUMIFS(Checks!$F$2:$F$1297,Checks!$A$2:$A$1297,$C3,Checks!$C$2:$C$1297,"T")/(2*COUNTIFS(Checks!$A$2:$A$1297,$C3,Checks!$C$2:$C$1297,"T",Checks!$F$2:$F$1297,"&gt;=0")),"")</f>
        <v>0.875</v>
      </c>
      <c r="Q3" s="11" t="n">
        <f aca="false">COUNTIFS(Checks!$A$2:$A$1297,$C3,Checks!$C$2:$C$1297,"T",Checks!$F$2:$F$1297,"&gt;=0")</f>
        <v>4</v>
      </c>
      <c r="R3" s="10" t="n">
        <f aca="false">IFERROR(SUMIFS(Checks!$F$2:$F$1297,Checks!$A$2:$A$1297,$C3,Checks!$C$2:$C$1297,"N")/(2*COUNTIFS(Checks!$A$2:$A$1297,$C3,Checks!$C$2:$C$1297,"N",Checks!$F$2:$F$1297,"&gt;=0")),"")</f>
        <v>1</v>
      </c>
      <c r="S3" s="11" t="n">
        <f aca="false">COUNTIFS(Checks!$A$2:$A$1297,$C3,Checks!$C$2:$C$1297,"N",Checks!$F$2:$F$1297,"&gt;=0")</f>
        <v>3</v>
      </c>
      <c r="T3" s="6" t="n">
        <f aca="false">K3+M3+O3+Q3+S3</f>
        <v>23</v>
      </c>
      <c r="U3" s="12" t="n">
        <f aca="false">T3/29</f>
        <v>0.793103448275862</v>
      </c>
      <c r="V3" s="6" t="str">
        <f aca="false">IF(T3&gt;=26,"High",IF(T3&gt;=20,"Medium","Low"))</f>
        <v>Medium</v>
      </c>
      <c r="W3" s="13" t="n">
        <f aca="false">IF((IF(K3&gt;0,Rubric!$C$3,0)+IF(M3&gt;0,Rubric!$C$4,0)+IF(O3&gt;0,Rubric!$C$5,0)+IF(Q3&gt;0,Rubric!$C$6,0)+IF(S3&gt;0,Rubric!$C$7,0))=0,"",ROUND(100*(IF(K3&gt;0,Rubric!$C$3*J3,0)+IF(M3&gt;0,Rubric!$C$4*L3,0)+IF(O3&gt;0,Rubric!$C$5*N3,0)+IF(Q3&gt;0,Rubric!$C$6*P3,0)+IF(S3&gt;0,Rubric!$C$7*R3,0))/(IF(K3&gt;0,Rubric!$C$3,0)+IF(M3&gt;0,Rubric!$C$4,0)+IF(O3&gt;0,Rubric!$C$5,0)+IF(Q3&gt;0,Rubric!$C$6,0)+IF(S3&gt;0,Rubric!$C$7,0)),1))</f>
        <v>93.8</v>
      </c>
      <c r="X3" s="14" t="str">
        <f aca="false">IF(W3="","",IF(W3&gt;=Rubric!$C$11,"A",IF(W3&gt;=Rubric!$C$12,"B",IF(W3&gt;=Rubric!$C$13,"C",IF(W3&gt;=Rubric!$C$14,"D","F")))))</f>
        <v>A</v>
      </c>
      <c r="Y3" s="8" t="str">
        <f aca="false">IF(X3="","",IF(X3="A","Benchmark",IF(X3="B","Strong",IF(X3="C","Developing",IF(X3="D","Needs work","At risk")))))</f>
        <v>Benchmark</v>
      </c>
      <c r="Z3" s="8" t="str">
        <f aca="false">IF(COUNT(J3,L3,N3,P3,R3)=0,"",INDEX({"Findability","Catalog","Buy","Trust","Content"},MATCH(MIN(J3,L3,N3,P3,R3),CHOOSE({1,2,3,4,5},J3,L3,N3,P3,R3),0)))</f>
        <v>Trust</v>
      </c>
      <c r="AA3" s="8"/>
      <c r="AB3" s="15" t="s">
        <v>57</v>
      </c>
    </row>
    <row r="4" customFormat="false" ht="30" hidden="false" customHeight="true" outlineLevel="0" collapsed="false">
      <c r="A4" s="6" t="n">
        <f aca="false">IF(W4="","",RANK(W4,$W$2:$W$25,0))</f>
        <v>4</v>
      </c>
      <c r="B4" s="6" t="n">
        <f aca="false">IF(W4="","",1+COUNTIFS($D$2:$D$25,"Benchmark",$W$2:$W$25,"&gt;"&amp;W4))</f>
        <v>3</v>
      </c>
      <c r="C4" s="7" t="s">
        <v>58</v>
      </c>
      <c r="D4" s="6" t="s">
        <v>45</v>
      </c>
      <c r="E4" s="8" t="s">
        <v>59</v>
      </c>
      <c r="F4" s="8" t="s">
        <v>60</v>
      </c>
      <c r="G4" s="8" t="s">
        <v>61</v>
      </c>
      <c r="H4" s="9" t="s">
        <v>62</v>
      </c>
      <c r="I4" s="6" t="s">
        <v>50</v>
      </c>
      <c r="J4" s="10" t="n">
        <f aca="false">IFERROR(SUMIFS(Checks!$F$2:$F$1297,Checks!$A$2:$A$1297,$C4,Checks!$C$2:$C$1297,"F")/(2*COUNTIFS(Checks!$A$2:$A$1297,$C4,Checks!$C$2:$C$1297,"F",Checks!$F$2:$F$1297,"&gt;=0")),"")</f>
        <v>1</v>
      </c>
      <c r="K4" s="11" t="n">
        <f aca="false">COUNTIFS(Checks!$A$2:$A$1297,$C4,Checks!$C$2:$C$1297,"F",Checks!$F$2:$F$1297,"&gt;=0")</f>
        <v>7</v>
      </c>
      <c r="L4" s="10" t="n">
        <f aca="false">IFERROR(SUMIFS(Checks!$F$2:$F$1297,Checks!$A$2:$A$1297,$C4,Checks!$C$2:$C$1297,"C")/(2*COUNTIFS(Checks!$A$2:$A$1297,$C4,Checks!$C$2:$C$1297,"C",Checks!$F$2:$F$1297,"&gt;=0")),"")</f>
        <v>0.75</v>
      </c>
      <c r="M4" s="11" t="n">
        <f aca="false">COUNTIFS(Checks!$A$2:$A$1297,$C4,Checks!$C$2:$C$1297,"C",Checks!$F$2:$F$1297,"&gt;=0")</f>
        <v>8</v>
      </c>
      <c r="N4" s="10" t="n">
        <f aca="false">IFERROR(SUMIFS(Checks!$F$2:$F$1297,Checks!$A$2:$A$1297,$C4,Checks!$C$2:$C$1297,"B")/(2*COUNTIFS(Checks!$A$2:$A$1297,$C4,Checks!$C$2:$C$1297,"B",Checks!$F$2:$F$1297,"&gt;=0")),"")</f>
        <v>1</v>
      </c>
      <c r="O4" s="11" t="n">
        <f aca="false">COUNTIFS(Checks!$A$2:$A$1297,$C4,Checks!$C$2:$C$1297,"B",Checks!$F$2:$F$1297,"&gt;=0")</f>
        <v>4</v>
      </c>
      <c r="P4" s="10" t="n">
        <f aca="false">IFERROR(SUMIFS(Checks!$F$2:$F$1297,Checks!$A$2:$A$1297,$C4,Checks!$C$2:$C$1297,"T")/(2*COUNTIFS(Checks!$A$2:$A$1297,$C4,Checks!$C$2:$C$1297,"T",Checks!$F$2:$F$1297,"&gt;=0")),"")</f>
        <v>1</v>
      </c>
      <c r="Q4" s="11" t="n">
        <f aca="false">COUNTIFS(Checks!$A$2:$A$1297,$C4,Checks!$C$2:$C$1297,"T",Checks!$F$2:$F$1297,"&gt;=0")</f>
        <v>5</v>
      </c>
      <c r="R4" s="10" t="n">
        <f aca="false">IFERROR(SUMIFS(Checks!$F$2:$F$1297,Checks!$A$2:$A$1297,$C4,Checks!$C$2:$C$1297,"N")/(2*COUNTIFS(Checks!$A$2:$A$1297,$C4,Checks!$C$2:$C$1297,"N",Checks!$F$2:$F$1297,"&gt;=0")),"")</f>
        <v>0.833333333333333</v>
      </c>
      <c r="S4" s="11" t="n">
        <f aca="false">COUNTIFS(Checks!$A$2:$A$1297,$C4,Checks!$C$2:$C$1297,"N",Checks!$F$2:$F$1297,"&gt;=0")</f>
        <v>3</v>
      </c>
      <c r="T4" s="6" t="n">
        <f aca="false">K4+M4+O4+Q4+S4</f>
        <v>27</v>
      </c>
      <c r="U4" s="12" t="n">
        <f aca="false">T4/29</f>
        <v>0.931034482758621</v>
      </c>
      <c r="V4" s="6" t="str">
        <f aca="false">IF(T4&gt;=26,"High",IF(T4&gt;=20,"Medium","Low"))</f>
        <v>High</v>
      </c>
      <c r="W4" s="13" t="n">
        <f aca="false">IF((IF(K4&gt;0,Rubric!$C$3,0)+IF(M4&gt;0,Rubric!$C$4,0)+IF(O4&gt;0,Rubric!$C$5,0)+IF(Q4&gt;0,Rubric!$C$6,0)+IF(S4&gt;0,Rubric!$C$7,0))=0,"",ROUND(100*(IF(K4&gt;0,Rubric!$C$3*J4,0)+IF(M4&gt;0,Rubric!$C$4*L4,0)+IF(O4&gt;0,Rubric!$C$5*N4,0)+IF(Q4&gt;0,Rubric!$C$6*P4,0)+IF(S4&gt;0,Rubric!$C$7*R4,0))/(IF(K4&gt;0,Rubric!$C$3,0)+IF(M4&gt;0,Rubric!$C$4,0)+IF(O4&gt;0,Rubric!$C$5,0)+IF(Q4&gt;0,Rubric!$C$6,0)+IF(S4&gt;0,Rubric!$C$7,0)),1))</f>
        <v>90.8</v>
      </c>
      <c r="X4" s="14" t="str">
        <f aca="false">IF(W4="","",IF(W4&gt;=Rubric!$C$11,"A",IF(W4&gt;=Rubric!$C$12,"B",IF(W4&gt;=Rubric!$C$13,"C",IF(W4&gt;=Rubric!$C$14,"D","F")))))</f>
        <v>A</v>
      </c>
      <c r="Y4" s="8" t="str">
        <f aca="false">IF(X4="","",IF(X4="A","Benchmark",IF(X4="B","Strong",IF(X4="C","Developing",IF(X4="D","Needs work","At risk")))))</f>
        <v>Benchmark</v>
      </c>
      <c r="Z4" s="8" t="str">
        <f aca="false">IF(COUNT(J4,L4,N4,P4,R4)=0,"",INDEX({"Findability","Catalog","Buy","Trust","Content"},MATCH(MIN(J4,L4,N4,P4,R4),CHOOSE({1,2,3,4,5},J4,L4,N4,P4,R4),0)))</f>
        <v>Catalog</v>
      </c>
      <c r="AA4" s="8"/>
      <c r="AB4" s="15" t="s">
        <v>63</v>
      </c>
    </row>
    <row r="5" customFormat="false" ht="30" hidden="false" customHeight="true" outlineLevel="0" collapsed="false">
      <c r="A5" s="6" t="n">
        <f aca="false">IF(W5="","",RANK(W5,$W$2:$W$25,0))</f>
        <v>5</v>
      </c>
      <c r="B5" s="6" t="n">
        <f aca="false">IF(W5="","",1+COUNTIFS($D$2:$D$25,"Benchmark",$W$2:$W$25,"&gt;"&amp;W5))</f>
        <v>4</v>
      </c>
      <c r="C5" s="7" t="s">
        <v>64</v>
      </c>
      <c r="D5" s="6" t="s">
        <v>45</v>
      </c>
      <c r="E5" s="8" t="s">
        <v>59</v>
      </c>
      <c r="F5" s="8" t="s">
        <v>60</v>
      </c>
      <c r="G5" s="8" t="s">
        <v>65</v>
      </c>
      <c r="H5" s="9" t="s">
        <v>66</v>
      </c>
      <c r="I5" s="6" t="s">
        <v>50</v>
      </c>
      <c r="J5" s="10" t="n">
        <f aca="false">IFERROR(SUMIFS(Checks!$F$2:$F$1297,Checks!$A$2:$A$1297,$C5,Checks!$C$2:$C$1297,"F")/(2*COUNTIFS(Checks!$A$2:$A$1297,$C5,Checks!$C$2:$C$1297,"F",Checks!$F$2:$F$1297,"&gt;=0")),"")</f>
        <v>0.9</v>
      </c>
      <c r="K5" s="11" t="n">
        <f aca="false">COUNTIFS(Checks!$A$2:$A$1297,$C5,Checks!$C$2:$C$1297,"F",Checks!$F$2:$F$1297,"&gt;=0")</f>
        <v>5</v>
      </c>
      <c r="L5" s="10" t="n">
        <f aca="false">IFERROR(SUMIFS(Checks!$F$2:$F$1297,Checks!$A$2:$A$1297,$C5,Checks!$C$2:$C$1297,"C")/(2*COUNTIFS(Checks!$A$2:$A$1297,$C5,Checks!$C$2:$C$1297,"C",Checks!$F$2:$F$1297,"&gt;=0")),"")</f>
        <v>0.875</v>
      </c>
      <c r="M5" s="11" t="n">
        <f aca="false">COUNTIFS(Checks!$A$2:$A$1297,$C5,Checks!$C$2:$C$1297,"C",Checks!$F$2:$F$1297,"&gt;=0")</f>
        <v>8</v>
      </c>
      <c r="N5" s="10" t="n">
        <f aca="false">IFERROR(SUMIFS(Checks!$F$2:$F$1297,Checks!$A$2:$A$1297,$C5,Checks!$C$2:$C$1297,"B")/(2*COUNTIFS(Checks!$A$2:$A$1297,$C5,Checks!$C$2:$C$1297,"B",Checks!$F$2:$F$1297,"&gt;=0")),"")</f>
        <v>0.875</v>
      </c>
      <c r="O5" s="11" t="n">
        <f aca="false">COUNTIFS(Checks!$A$2:$A$1297,$C5,Checks!$C$2:$C$1297,"B",Checks!$F$2:$F$1297,"&gt;=0")</f>
        <v>4</v>
      </c>
      <c r="P5" s="10" t="n">
        <f aca="false">IFERROR(SUMIFS(Checks!$F$2:$F$1297,Checks!$A$2:$A$1297,$C5,Checks!$C$2:$C$1297,"T")/(2*COUNTIFS(Checks!$A$2:$A$1297,$C5,Checks!$C$2:$C$1297,"T",Checks!$F$2:$F$1297,"&gt;=0")),"")</f>
        <v>1</v>
      </c>
      <c r="Q5" s="11" t="n">
        <f aca="false">COUNTIFS(Checks!$A$2:$A$1297,$C5,Checks!$C$2:$C$1297,"T",Checks!$F$2:$F$1297,"&gt;=0")</f>
        <v>5</v>
      </c>
      <c r="R5" s="10" t="n">
        <f aca="false">IFERROR(SUMIFS(Checks!$F$2:$F$1297,Checks!$A$2:$A$1297,$C5,Checks!$C$2:$C$1297,"N")/(2*COUNTIFS(Checks!$A$2:$A$1297,$C5,Checks!$C$2:$C$1297,"N",Checks!$F$2:$F$1297,"&gt;=0")),"")</f>
        <v>0.833333333333333</v>
      </c>
      <c r="S5" s="11" t="n">
        <f aca="false">COUNTIFS(Checks!$A$2:$A$1297,$C5,Checks!$C$2:$C$1297,"N",Checks!$F$2:$F$1297,"&gt;=0")</f>
        <v>3</v>
      </c>
      <c r="T5" s="6" t="n">
        <f aca="false">K5+M5+O5+Q5+S5</f>
        <v>25</v>
      </c>
      <c r="U5" s="12" t="n">
        <f aca="false">T5/29</f>
        <v>0.862068965517241</v>
      </c>
      <c r="V5" s="6" t="str">
        <f aca="false">IF(T5&gt;=26,"High",IF(T5&gt;=20,"Medium","Low"))</f>
        <v>Medium</v>
      </c>
      <c r="W5" s="13" t="n">
        <f aca="false">IF((IF(K5&gt;0,Rubric!$C$3,0)+IF(M5&gt;0,Rubric!$C$4,0)+IF(O5&gt;0,Rubric!$C$5,0)+IF(Q5&gt;0,Rubric!$C$6,0)+IF(S5&gt;0,Rubric!$C$7,0))=0,"",ROUND(100*(IF(K5&gt;0,Rubric!$C$3*J5,0)+IF(M5&gt;0,Rubric!$C$4*L5,0)+IF(O5&gt;0,Rubric!$C$5*N5,0)+IF(Q5&gt;0,Rubric!$C$6*P5,0)+IF(S5&gt;0,Rubric!$C$7*R5,0))/(IF(K5&gt;0,Rubric!$C$3,0)+IF(M5&gt;0,Rubric!$C$4,0)+IF(O5&gt;0,Rubric!$C$5,0)+IF(Q5&gt;0,Rubric!$C$6,0)+IF(S5&gt;0,Rubric!$C$7,0)),1))</f>
        <v>89.6</v>
      </c>
      <c r="X5" s="14" t="str">
        <f aca="false">IF(W5="","",IF(W5&gt;=Rubric!$C$11,"A",IF(W5&gt;=Rubric!$C$12,"B",IF(W5&gt;=Rubric!$C$13,"C",IF(W5&gt;=Rubric!$C$14,"D","F")))))</f>
        <v>A</v>
      </c>
      <c r="Y5" s="8" t="str">
        <f aca="false">IF(X5="","",IF(X5="A","Benchmark",IF(X5="B","Strong",IF(X5="C","Developing",IF(X5="D","Needs work","At risk")))))</f>
        <v>Benchmark</v>
      </c>
      <c r="Z5" s="8" t="str">
        <f aca="false">IF(COUNT(J5,L5,N5,P5,R5)=0,"",INDEX({"Findability","Catalog","Buy","Trust","Content"},MATCH(MIN(J5,L5,N5,P5,R5),CHOOSE({1,2,3,4,5},J5,L5,N5,P5,R5),0)))</f>
        <v>Content</v>
      </c>
      <c r="AA5" s="8"/>
      <c r="AB5" s="15" t="s">
        <v>67</v>
      </c>
    </row>
    <row r="6" customFormat="false" ht="30" hidden="false" customHeight="true" outlineLevel="0" collapsed="false">
      <c r="A6" s="6" t="n">
        <f aca="false">IF(W6="","",RANK(W6,$W$2:$W$25,0))</f>
        <v>6</v>
      </c>
      <c r="B6" s="6" t="n">
        <f aca="false">IF(W6="","",1+COUNTIFS($D$2:$D$25,"Benchmark",$W$2:$W$25,"&gt;"&amp;W6))</f>
        <v>5</v>
      </c>
      <c r="C6" s="7" t="s">
        <v>68</v>
      </c>
      <c r="D6" s="6" t="s">
        <v>45</v>
      </c>
      <c r="E6" s="8" t="s">
        <v>46</v>
      </c>
      <c r="F6" s="8" t="s">
        <v>69</v>
      </c>
      <c r="G6" s="8" t="s">
        <v>70</v>
      </c>
      <c r="H6" s="9" t="s">
        <v>71</v>
      </c>
      <c r="I6" s="6" t="s">
        <v>50</v>
      </c>
      <c r="J6" s="10" t="n">
        <f aca="false">IFERROR(SUMIFS(Checks!$F$2:$F$1297,Checks!$A$2:$A$1297,$C6,Checks!$C$2:$C$1297,"F")/(2*COUNTIFS(Checks!$A$2:$A$1297,$C6,Checks!$C$2:$C$1297,"F",Checks!$F$2:$F$1297,"&gt;=0")),"")</f>
        <v>1</v>
      </c>
      <c r="K6" s="11" t="n">
        <f aca="false">COUNTIFS(Checks!$A$2:$A$1297,$C6,Checks!$C$2:$C$1297,"F",Checks!$F$2:$F$1297,"&gt;=0")</f>
        <v>7</v>
      </c>
      <c r="L6" s="10" t="n">
        <f aca="false">IFERROR(SUMIFS(Checks!$F$2:$F$1297,Checks!$A$2:$A$1297,$C6,Checks!$C$2:$C$1297,"C")/(2*COUNTIFS(Checks!$A$2:$A$1297,$C6,Checks!$C$2:$C$1297,"C",Checks!$F$2:$F$1297,"&gt;=0")),"")</f>
        <v>0.8125</v>
      </c>
      <c r="M6" s="11" t="n">
        <f aca="false">COUNTIFS(Checks!$A$2:$A$1297,$C6,Checks!$C$2:$C$1297,"C",Checks!$F$2:$F$1297,"&gt;=0")</f>
        <v>8</v>
      </c>
      <c r="N6" s="10" t="n">
        <f aca="false">IFERROR(SUMIFS(Checks!$F$2:$F$1297,Checks!$A$2:$A$1297,$C6,Checks!$C$2:$C$1297,"B")/(2*COUNTIFS(Checks!$A$2:$A$1297,$C6,Checks!$C$2:$C$1297,"B",Checks!$F$2:$F$1297,"&gt;=0")),"")</f>
        <v>0.833333333333333</v>
      </c>
      <c r="O6" s="11" t="n">
        <f aca="false">COUNTIFS(Checks!$A$2:$A$1297,$C6,Checks!$C$2:$C$1297,"B",Checks!$F$2:$F$1297,"&gt;=0")</f>
        <v>3</v>
      </c>
      <c r="P6" s="10" t="n">
        <f aca="false">IFERROR(SUMIFS(Checks!$F$2:$F$1297,Checks!$A$2:$A$1297,$C6,Checks!$C$2:$C$1297,"T")/(2*COUNTIFS(Checks!$A$2:$A$1297,$C6,Checks!$C$2:$C$1297,"T",Checks!$F$2:$F$1297,"&gt;=0")),"")</f>
        <v>1</v>
      </c>
      <c r="Q6" s="11" t="n">
        <f aca="false">COUNTIFS(Checks!$A$2:$A$1297,$C6,Checks!$C$2:$C$1297,"T",Checks!$F$2:$F$1297,"&gt;=0")</f>
        <v>4</v>
      </c>
      <c r="R6" s="10" t="n">
        <f aca="false">IFERROR(SUMIFS(Checks!$F$2:$F$1297,Checks!$A$2:$A$1297,$C6,Checks!$C$2:$C$1297,"N")/(2*COUNTIFS(Checks!$A$2:$A$1297,$C6,Checks!$C$2:$C$1297,"N",Checks!$F$2:$F$1297,"&gt;=0")),"")</f>
        <v>0.75</v>
      </c>
      <c r="S6" s="11" t="n">
        <f aca="false">COUNTIFS(Checks!$A$2:$A$1297,$C6,Checks!$C$2:$C$1297,"N",Checks!$F$2:$F$1297,"&gt;=0")</f>
        <v>2</v>
      </c>
      <c r="T6" s="6" t="n">
        <f aca="false">K6+M6+O6+Q6+S6</f>
        <v>24</v>
      </c>
      <c r="U6" s="12" t="n">
        <f aca="false">T6/29</f>
        <v>0.827586206896552</v>
      </c>
      <c r="V6" s="6" t="str">
        <f aca="false">IF(T6&gt;=26,"High",IF(T6&gt;=20,"Medium","Low"))</f>
        <v>Medium</v>
      </c>
      <c r="W6" s="13" t="n">
        <f aca="false">IF((IF(K6&gt;0,Rubric!$C$3,0)+IF(M6&gt;0,Rubric!$C$4,0)+IF(O6&gt;0,Rubric!$C$5,0)+IF(Q6&gt;0,Rubric!$C$6,0)+IF(S6&gt;0,Rubric!$C$7,0))=0,"",ROUND(100*(IF(K6&gt;0,Rubric!$C$3*J6,0)+IF(M6&gt;0,Rubric!$C$4*L6,0)+IF(O6&gt;0,Rubric!$C$5*N6,0)+IF(Q6&gt;0,Rubric!$C$6*P6,0)+IF(S6&gt;0,Rubric!$C$7*R6,0))/(IF(K6&gt;0,Rubric!$C$3,0)+IF(M6&gt;0,Rubric!$C$4,0)+IF(O6&gt;0,Rubric!$C$5,0)+IF(Q6&gt;0,Rubric!$C$6,0)+IF(S6&gt;0,Rubric!$C$7,0)),1))</f>
        <v>88.5</v>
      </c>
      <c r="X6" s="14" t="str">
        <f aca="false">IF(W6="","",IF(W6&gt;=Rubric!$C$11,"A",IF(W6&gt;=Rubric!$C$12,"B",IF(W6&gt;=Rubric!$C$13,"C",IF(W6&gt;=Rubric!$C$14,"D","F")))))</f>
        <v>A</v>
      </c>
      <c r="Y6" s="8" t="str">
        <f aca="false">IF(X6="","",IF(X6="A","Benchmark",IF(X6="B","Strong",IF(X6="C","Developing",IF(X6="D","Needs work","At risk")))))</f>
        <v>Benchmark</v>
      </c>
      <c r="Z6" s="8" t="str">
        <f aca="false">IF(COUNT(J6,L6,N6,P6,R6)=0,"",INDEX({"Findability","Catalog","Buy","Trust","Content"},MATCH(MIN(J6,L6,N6,P6,R6),CHOOSE({1,2,3,4,5},J6,L6,N6,P6,R6),0)))</f>
        <v>Content</v>
      </c>
      <c r="AA6" s="8"/>
      <c r="AB6" s="15" t="s">
        <v>72</v>
      </c>
    </row>
    <row r="7" customFormat="false" ht="30" hidden="false" customHeight="true" outlineLevel="0" collapsed="false">
      <c r="A7" s="6" t="n">
        <f aca="false">IF(W7="","",RANK(W7,$W$2:$W$25,0))</f>
        <v>7</v>
      </c>
      <c r="B7" s="6" t="n">
        <f aca="false">IF(W7="","",1+COUNTIFS($D$2:$D$25,"Benchmark",$W$2:$W$25,"&gt;"&amp;W7))</f>
        <v>6</v>
      </c>
      <c r="C7" s="7" t="s">
        <v>73</v>
      </c>
      <c r="D7" s="6" t="s">
        <v>45</v>
      </c>
      <c r="E7" s="8" t="s">
        <v>46</v>
      </c>
      <c r="F7" s="8" t="s">
        <v>54</v>
      </c>
      <c r="G7" s="8" t="s">
        <v>74</v>
      </c>
      <c r="H7" s="9" t="s">
        <v>75</v>
      </c>
      <c r="I7" s="6" t="s">
        <v>50</v>
      </c>
      <c r="J7" s="10" t="n">
        <f aca="false">IFERROR(SUMIFS(Checks!$F$2:$F$1297,Checks!$A$2:$A$1297,$C7,Checks!$C$2:$C$1297,"F")/(2*COUNTIFS(Checks!$A$2:$A$1297,$C7,Checks!$C$2:$C$1297,"F",Checks!$F$2:$F$1297,"&gt;=0")),"")</f>
        <v>0.857142857142857</v>
      </c>
      <c r="K7" s="11" t="n">
        <f aca="false">COUNTIFS(Checks!$A$2:$A$1297,$C7,Checks!$C$2:$C$1297,"F",Checks!$F$2:$F$1297,"&gt;=0")</f>
        <v>7</v>
      </c>
      <c r="L7" s="10" t="n">
        <f aca="false">IFERROR(SUMIFS(Checks!$F$2:$F$1297,Checks!$A$2:$A$1297,$C7,Checks!$C$2:$C$1297,"C")/(2*COUNTIFS(Checks!$A$2:$A$1297,$C7,Checks!$C$2:$C$1297,"C",Checks!$F$2:$F$1297,"&gt;=0")),"")</f>
        <v>0.9375</v>
      </c>
      <c r="M7" s="11" t="n">
        <f aca="false">COUNTIFS(Checks!$A$2:$A$1297,$C7,Checks!$C$2:$C$1297,"C",Checks!$F$2:$F$1297,"&gt;=0")</f>
        <v>8</v>
      </c>
      <c r="N7" s="10" t="n">
        <f aca="false">IFERROR(SUMIFS(Checks!$F$2:$F$1297,Checks!$A$2:$A$1297,$C7,Checks!$C$2:$C$1297,"B")/(2*COUNTIFS(Checks!$A$2:$A$1297,$C7,Checks!$C$2:$C$1297,"B",Checks!$F$2:$F$1297,"&gt;=0")),"")</f>
        <v>0.875</v>
      </c>
      <c r="O7" s="11" t="n">
        <f aca="false">COUNTIFS(Checks!$A$2:$A$1297,$C7,Checks!$C$2:$C$1297,"B",Checks!$F$2:$F$1297,"&gt;=0")</f>
        <v>4</v>
      </c>
      <c r="P7" s="10" t="n">
        <f aca="false">IFERROR(SUMIFS(Checks!$F$2:$F$1297,Checks!$A$2:$A$1297,$C7,Checks!$C$2:$C$1297,"T")/(2*COUNTIFS(Checks!$A$2:$A$1297,$C7,Checks!$C$2:$C$1297,"T",Checks!$F$2:$F$1297,"&gt;=0")),"")</f>
        <v>0.9</v>
      </c>
      <c r="Q7" s="11" t="n">
        <f aca="false">COUNTIFS(Checks!$A$2:$A$1297,$C7,Checks!$C$2:$C$1297,"T",Checks!$F$2:$F$1297,"&gt;=0")</f>
        <v>5</v>
      </c>
      <c r="R7" s="10" t="n">
        <f aca="false">IFERROR(SUMIFS(Checks!$F$2:$F$1297,Checks!$A$2:$A$1297,$C7,Checks!$C$2:$C$1297,"N")/(2*COUNTIFS(Checks!$A$2:$A$1297,$C7,Checks!$C$2:$C$1297,"N",Checks!$F$2:$F$1297,"&gt;=0")),"")</f>
        <v>0.666666666666667</v>
      </c>
      <c r="S7" s="11" t="n">
        <f aca="false">COUNTIFS(Checks!$A$2:$A$1297,$C7,Checks!$C$2:$C$1297,"N",Checks!$F$2:$F$1297,"&gt;=0")</f>
        <v>3</v>
      </c>
      <c r="T7" s="6" t="n">
        <f aca="false">K7+M7+O7+Q7+S7</f>
        <v>27</v>
      </c>
      <c r="U7" s="12" t="n">
        <f aca="false">T7/29</f>
        <v>0.931034482758621</v>
      </c>
      <c r="V7" s="6" t="str">
        <f aca="false">IF(T7&gt;=26,"High",IF(T7&gt;=20,"Medium","Low"))</f>
        <v>High</v>
      </c>
      <c r="W7" s="13" t="n">
        <f aca="false">IF((IF(K7&gt;0,Rubric!$C$3,0)+IF(M7&gt;0,Rubric!$C$4,0)+IF(O7&gt;0,Rubric!$C$5,0)+IF(Q7&gt;0,Rubric!$C$6,0)+IF(S7&gt;0,Rubric!$C$7,0))=0,"",ROUND(100*(IF(K7&gt;0,Rubric!$C$3*J7,0)+IF(M7&gt;0,Rubric!$C$4*L7,0)+IF(O7&gt;0,Rubric!$C$5*N7,0)+IF(Q7&gt;0,Rubric!$C$6*P7,0)+IF(S7&gt;0,Rubric!$C$7*R7,0))/(IF(K7&gt;0,Rubric!$C$3,0)+IF(M7&gt;0,Rubric!$C$4,0)+IF(O7&gt;0,Rubric!$C$5,0)+IF(Q7&gt;0,Rubric!$C$6,0)+IF(S7&gt;0,Rubric!$C$7,0)),1))</f>
        <v>87.2</v>
      </c>
      <c r="X7" s="14" t="str">
        <f aca="false">IF(W7="","",IF(W7&gt;=Rubric!$C$11,"A",IF(W7&gt;=Rubric!$C$12,"B",IF(W7&gt;=Rubric!$C$13,"C",IF(W7&gt;=Rubric!$C$14,"D","F")))))</f>
        <v>A</v>
      </c>
      <c r="Y7" s="8" t="str">
        <f aca="false">IF(X7="","",IF(X7="A","Benchmark",IF(X7="B","Strong",IF(X7="C","Developing",IF(X7="D","Needs work","At risk")))))</f>
        <v>Benchmark</v>
      </c>
      <c r="Z7" s="8" t="str">
        <f aca="false">IF(COUNT(J7,L7,N7,P7,R7)=0,"",INDEX({"Findability","Catalog","Buy","Trust","Content"},MATCH(MIN(J7,L7,N7,P7,R7),CHOOSE({1,2,3,4,5},J7,L7,N7,P7,R7),0)))</f>
        <v>Content</v>
      </c>
      <c r="AA7" s="8"/>
      <c r="AB7" s="15" t="s">
        <v>76</v>
      </c>
    </row>
    <row r="8" customFormat="false" ht="30" hidden="false" customHeight="true" outlineLevel="0" collapsed="false">
      <c r="A8" s="6" t="n">
        <f aca="false">IF(W8="","",RANK(W8,$W$2:$W$25,0))</f>
        <v>8</v>
      </c>
      <c r="B8" s="6" t="n">
        <f aca="false">IF(W8="","",1+COUNTIFS($D$2:$D$25,"Benchmark",$W$2:$W$25,"&gt;"&amp;W8))</f>
        <v>7</v>
      </c>
      <c r="C8" s="7" t="s">
        <v>77</v>
      </c>
      <c r="D8" s="6" t="s">
        <v>45</v>
      </c>
      <c r="E8" s="8" t="s">
        <v>46</v>
      </c>
      <c r="F8" s="8" t="s">
        <v>60</v>
      </c>
      <c r="G8" s="8" t="s">
        <v>78</v>
      </c>
      <c r="H8" s="9" t="s">
        <v>79</v>
      </c>
      <c r="I8" s="6" t="s">
        <v>50</v>
      </c>
      <c r="J8" s="10" t="n">
        <f aca="false">IFERROR(SUMIFS(Checks!$F$2:$F$1297,Checks!$A$2:$A$1297,$C8,Checks!$C$2:$C$1297,"F")/(2*COUNTIFS(Checks!$A$2:$A$1297,$C8,Checks!$C$2:$C$1297,"F",Checks!$F$2:$F$1297,"&gt;=0")),"")</f>
        <v>0.928571428571429</v>
      </c>
      <c r="K8" s="11" t="n">
        <f aca="false">COUNTIFS(Checks!$A$2:$A$1297,$C8,Checks!$C$2:$C$1297,"F",Checks!$F$2:$F$1297,"&gt;=0")</f>
        <v>7</v>
      </c>
      <c r="L8" s="10" t="n">
        <f aca="false">IFERROR(SUMIFS(Checks!$F$2:$F$1297,Checks!$A$2:$A$1297,$C8,Checks!$C$2:$C$1297,"C")/(2*COUNTIFS(Checks!$A$2:$A$1297,$C8,Checks!$C$2:$C$1297,"C",Checks!$F$2:$F$1297,"&gt;=0")),"")</f>
        <v>0.8125</v>
      </c>
      <c r="M8" s="11" t="n">
        <f aca="false">COUNTIFS(Checks!$A$2:$A$1297,$C8,Checks!$C$2:$C$1297,"C",Checks!$F$2:$F$1297,"&gt;=0")</f>
        <v>8</v>
      </c>
      <c r="N8" s="10" t="n">
        <f aca="false">IFERROR(SUMIFS(Checks!$F$2:$F$1297,Checks!$A$2:$A$1297,$C8,Checks!$C$2:$C$1297,"B")/(2*COUNTIFS(Checks!$A$2:$A$1297,$C8,Checks!$C$2:$C$1297,"B",Checks!$F$2:$F$1297,"&gt;=0")),"")</f>
        <v>0.875</v>
      </c>
      <c r="O8" s="11" t="n">
        <f aca="false">COUNTIFS(Checks!$A$2:$A$1297,$C8,Checks!$C$2:$C$1297,"B",Checks!$F$2:$F$1297,"&gt;=0")</f>
        <v>4</v>
      </c>
      <c r="P8" s="10" t="n">
        <f aca="false">IFERROR(SUMIFS(Checks!$F$2:$F$1297,Checks!$A$2:$A$1297,$C8,Checks!$C$2:$C$1297,"T")/(2*COUNTIFS(Checks!$A$2:$A$1297,$C8,Checks!$C$2:$C$1297,"T",Checks!$F$2:$F$1297,"&gt;=0")),"")</f>
        <v>1</v>
      </c>
      <c r="Q8" s="11" t="n">
        <f aca="false">COUNTIFS(Checks!$A$2:$A$1297,$C8,Checks!$C$2:$C$1297,"T",Checks!$F$2:$F$1297,"&gt;=0")</f>
        <v>4</v>
      </c>
      <c r="R8" s="10" t="n">
        <f aca="false">IFERROR(SUMIFS(Checks!$F$2:$F$1297,Checks!$A$2:$A$1297,$C8,Checks!$C$2:$C$1297,"N")/(2*COUNTIFS(Checks!$A$2:$A$1297,$C8,Checks!$C$2:$C$1297,"N",Checks!$F$2:$F$1297,"&gt;=0")),"")</f>
        <v>0.666666666666667</v>
      </c>
      <c r="S8" s="11" t="n">
        <f aca="false">COUNTIFS(Checks!$A$2:$A$1297,$C8,Checks!$C$2:$C$1297,"N",Checks!$F$2:$F$1297,"&gt;=0")</f>
        <v>3</v>
      </c>
      <c r="T8" s="6" t="n">
        <f aca="false">K8+M8+O8+Q8+S8</f>
        <v>26</v>
      </c>
      <c r="U8" s="12" t="n">
        <f aca="false">T8/29</f>
        <v>0.896551724137931</v>
      </c>
      <c r="V8" s="6" t="str">
        <f aca="false">IF(T8&gt;=26,"High",IF(T8&gt;=20,"Medium","Low"))</f>
        <v>High</v>
      </c>
      <c r="W8" s="13" t="n">
        <f aca="false">IF((IF(K8&gt;0,Rubric!$C$3,0)+IF(M8&gt;0,Rubric!$C$4,0)+IF(O8&gt;0,Rubric!$C$5,0)+IF(Q8&gt;0,Rubric!$C$6,0)+IF(S8&gt;0,Rubric!$C$7,0))=0,"",ROUND(100*(IF(K8&gt;0,Rubric!$C$3*J8,0)+IF(M8&gt;0,Rubric!$C$4*L8,0)+IF(O8&gt;0,Rubric!$C$5*N8,0)+IF(Q8&gt;0,Rubric!$C$6*P8,0)+IF(S8&gt;0,Rubric!$C$7*R8,0))/(IF(K8&gt;0,Rubric!$C$3,0)+IF(M8&gt;0,Rubric!$C$4,0)+IF(O8&gt;0,Rubric!$C$5,0)+IF(Q8&gt;0,Rubric!$C$6,0)+IF(S8&gt;0,Rubric!$C$7,0)),1))</f>
        <v>86.8</v>
      </c>
      <c r="X8" s="14" t="str">
        <f aca="false">IF(W8="","",IF(W8&gt;=Rubric!$C$11,"A",IF(W8&gt;=Rubric!$C$12,"B",IF(W8&gt;=Rubric!$C$13,"C",IF(W8&gt;=Rubric!$C$14,"D","F")))))</f>
        <v>A</v>
      </c>
      <c r="Y8" s="8" t="str">
        <f aca="false">IF(X8="","",IF(X8="A","Benchmark",IF(X8="B","Strong",IF(X8="C","Developing",IF(X8="D","Needs work","At risk")))))</f>
        <v>Benchmark</v>
      </c>
      <c r="Z8" s="8" t="str">
        <f aca="false">IF(COUNT(J8,L8,N8,P8,R8)=0,"",INDEX({"Findability","Catalog","Buy","Trust","Content"},MATCH(MIN(J8,L8,N8,P8,R8),CHOOSE({1,2,3,4,5},J8,L8,N8,P8,R8),0)))</f>
        <v>Content</v>
      </c>
      <c r="AA8" s="8"/>
      <c r="AB8" s="15" t="s">
        <v>80</v>
      </c>
    </row>
    <row r="9" customFormat="false" ht="30" hidden="false" customHeight="true" outlineLevel="0" collapsed="false">
      <c r="A9" s="6" t="n">
        <f aca="false">IF(W9="","",RANK(W9,$W$2:$W$25,0))</f>
        <v>9</v>
      </c>
      <c r="B9" s="6" t="n">
        <f aca="false">IF(W9="","",1+COUNTIFS($D$2:$D$25,"Benchmark",$W$2:$W$25,"&gt;"&amp;W9))</f>
        <v>8</v>
      </c>
      <c r="C9" s="7" t="s">
        <v>81</v>
      </c>
      <c r="D9" s="6" t="s">
        <v>45</v>
      </c>
      <c r="E9" s="8" t="s">
        <v>59</v>
      </c>
      <c r="F9" s="8" t="s">
        <v>54</v>
      </c>
      <c r="G9" s="8" t="s">
        <v>82</v>
      </c>
      <c r="H9" s="9" t="s">
        <v>83</v>
      </c>
      <c r="I9" s="6" t="s">
        <v>50</v>
      </c>
      <c r="J9" s="10" t="n">
        <f aca="false">IFERROR(SUMIFS(Checks!$F$2:$F$1297,Checks!$A$2:$A$1297,$C9,Checks!$C$2:$C$1297,"F")/(2*COUNTIFS(Checks!$A$2:$A$1297,$C9,Checks!$C$2:$C$1297,"F",Checks!$F$2:$F$1297,"&gt;=0")),"")</f>
        <v>0.857142857142857</v>
      </c>
      <c r="K9" s="11" t="n">
        <f aca="false">COUNTIFS(Checks!$A$2:$A$1297,$C9,Checks!$C$2:$C$1297,"F",Checks!$F$2:$F$1297,"&gt;=0")</f>
        <v>7</v>
      </c>
      <c r="L9" s="10" t="n">
        <f aca="false">IFERROR(SUMIFS(Checks!$F$2:$F$1297,Checks!$A$2:$A$1297,$C9,Checks!$C$2:$C$1297,"C")/(2*COUNTIFS(Checks!$A$2:$A$1297,$C9,Checks!$C$2:$C$1297,"C",Checks!$F$2:$F$1297,"&gt;=0")),"")</f>
        <v>0.857142857142857</v>
      </c>
      <c r="M9" s="11" t="n">
        <f aca="false">COUNTIFS(Checks!$A$2:$A$1297,$C9,Checks!$C$2:$C$1297,"C",Checks!$F$2:$F$1297,"&gt;=0")</f>
        <v>7</v>
      </c>
      <c r="N9" s="10" t="n">
        <f aca="false">IFERROR(SUMIFS(Checks!$F$2:$F$1297,Checks!$A$2:$A$1297,$C9,Checks!$C$2:$C$1297,"B")/(2*COUNTIFS(Checks!$A$2:$A$1297,$C9,Checks!$C$2:$C$1297,"B",Checks!$F$2:$F$1297,"&gt;=0")),"")</f>
        <v>0.9</v>
      </c>
      <c r="O9" s="11" t="n">
        <f aca="false">COUNTIFS(Checks!$A$2:$A$1297,$C9,Checks!$C$2:$C$1297,"B",Checks!$F$2:$F$1297,"&gt;=0")</f>
        <v>5</v>
      </c>
      <c r="P9" s="10" t="n">
        <f aca="false">IFERROR(SUMIFS(Checks!$F$2:$F$1297,Checks!$A$2:$A$1297,$C9,Checks!$C$2:$C$1297,"T")/(2*COUNTIFS(Checks!$A$2:$A$1297,$C9,Checks!$C$2:$C$1297,"T",Checks!$F$2:$F$1297,"&gt;=0")),"")</f>
        <v>0.9</v>
      </c>
      <c r="Q9" s="11" t="n">
        <f aca="false">COUNTIFS(Checks!$A$2:$A$1297,$C9,Checks!$C$2:$C$1297,"T",Checks!$F$2:$F$1297,"&gt;=0")</f>
        <v>5</v>
      </c>
      <c r="R9" s="10" t="n">
        <f aca="false">IFERROR(SUMIFS(Checks!$F$2:$F$1297,Checks!$A$2:$A$1297,$C9,Checks!$C$2:$C$1297,"N")/(2*COUNTIFS(Checks!$A$2:$A$1297,$C9,Checks!$C$2:$C$1297,"N",Checks!$F$2:$F$1297,"&gt;=0")),"")</f>
        <v>0.666666666666667</v>
      </c>
      <c r="S9" s="11" t="n">
        <f aca="false">COUNTIFS(Checks!$A$2:$A$1297,$C9,Checks!$C$2:$C$1297,"N",Checks!$F$2:$F$1297,"&gt;=0")</f>
        <v>3</v>
      </c>
      <c r="T9" s="6" t="n">
        <f aca="false">K9+M9+O9+Q9+S9</f>
        <v>27</v>
      </c>
      <c r="U9" s="12" t="n">
        <f aca="false">T9/29</f>
        <v>0.931034482758621</v>
      </c>
      <c r="V9" s="6" t="str">
        <f aca="false">IF(T9&gt;=26,"High",IF(T9&gt;=20,"Medium","Low"))</f>
        <v>High</v>
      </c>
      <c r="W9" s="13" t="n">
        <f aca="false">IF((IF(K9&gt;0,Rubric!$C$3,0)+IF(M9&gt;0,Rubric!$C$4,0)+IF(O9&gt;0,Rubric!$C$5,0)+IF(Q9&gt;0,Rubric!$C$6,0)+IF(S9&gt;0,Rubric!$C$7,0))=0,"",ROUND(100*(IF(K9&gt;0,Rubric!$C$3*J9,0)+IF(M9&gt;0,Rubric!$C$4*L9,0)+IF(O9&gt;0,Rubric!$C$5*N9,0)+IF(Q9&gt;0,Rubric!$C$6*P9,0)+IF(S9&gt;0,Rubric!$C$7*R9,0))/(IF(K9&gt;0,Rubric!$C$3,0)+IF(M9&gt;0,Rubric!$C$4,0)+IF(O9&gt;0,Rubric!$C$5,0)+IF(Q9&gt;0,Rubric!$C$6,0)+IF(S9&gt;0,Rubric!$C$7,0)),1))</f>
        <v>85.3</v>
      </c>
      <c r="X9" s="14" t="str">
        <f aca="false">IF(W9="","",IF(W9&gt;=Rubric!$C$11,"A",IF(W9&gt;=Rubric!$C$12,"B",IF(W9&gt;=Rubric!$C$13,"C",IF(W9&gt;=Rubric!$C$14,"D","F")))))</f>
        <v>A</v>
      </c>
      <c r="Y9" s="8" t="str">
        <f aca="false">IF(X9="","",IF(X9="A","Benchmark",IF(X9="B","Strong",IF(X9="C","Developing",IF(X9="D","Needs work","At risk")))))</f>
        <v>Benchmark</v>
      </c>
      <c r="Z9" s="8" t="str">
        <f aca="false">IF(COUNT(J9,L9,N9,P9,R9)=0,"",INDEX({"Findability","Catalog","Buy","Trust","Content"},MATCH(MIN(J9,L9,N9,P9,R9),CHOOSE({1,2,3,4,5},J9,L9,N9,P9,R9),0)))</f>
        <v>Content</v>
      </c>
      <c r="AA9" s="8"/>
      <c r="AB9" s="15" t="s">
        <v>84</v>
      </c>
    </row>
    <row r="10" customFormat="false" ht="30" hidden="false" customHeight="true" outlineLevel="0" collapsed="false">
      <c r="A10" s="6" t="n">
        <f aca="false">IF(W10="","",RANK(W10,$W$2:$W$25,0))</f>
        <v>10</v>
      </c>
      <c r="B10" s="6" t="n">
        <f aca="false">IF(W10="","",1+COUNTIFS($D$2:$D$25,"Benchmark",$W$2:$W$25,"&gt;"&amp;W10))</f>
        <v>9</v>
      </c>
      <c r="C10" s="7" t="s">
        <v>85</v>
      </c>
      <c r="D10" s="6" t="s">
        <v>45</v>
      </c>
      <c r="E10" s="8" t="s">
        <v>53</v>
      </c>
      <c r="F10" s="8" t="s">
        <v>54</v>
      </c>
      <c r="G10" s="8" t="s">
        <v>86</v>
      </c>
      <c r="H10" s="9" t="s">
        <v>87</v>
      </c>
      <c r="I10" s="6" t="s">
        <v>50</v>
      </c>
      <c r="J10" s="10" t="n">
        <f aca="false">IFERROR(SUMIFS(Checks!$F$2:$F$1297,Checks!$A$2:$A$1297,$C10,Checks!$C$2:$C$1297,"F")/(2*COUNTIFS(Checks!$A$2:$A$1297,$C10,Checks!$C$2:$C$1297,"F",Checks!$F$2:$F$1297,"&gt;=0")),"")</f>
        <v>0.857142857142857</v>
      </c>
      <c r="K10" s="11" t="n">
        <f aca="false">COUNTIFS(Checks!$A$2:$A$1297,$C10,Checks!$C$2:$C$1297,"F",Checks!$F$2:$F$1297,"&gt;=0")</f>
        <v>7</v>
      </c>
      <c r="L10" s="10" t="n">
        <f aca="false">IFERROR(SUMIFS(Checks!$F$2:$F$1297,Checks!$A$2:$A$1297,$C10,Checks!$C$2:$C$1297,"C")/(2*COUNTIFS(Checks!$A$2:$A$1297,$C10,Checks!$C$2:$C$1297,"C",Checks!$F$2:$F$1297,"&gt;=0")),"")</f>
        <v>0.785714285714286</v>
      </c>
      <c r="M10" s="11" t="n">
        <f aca="false">COUNTIFS(Checks!$A$2:$A$1297,$C10,Checks!$C$2:$C$1297,"C",Checks!$F$2:$F$1297,"&gt;=0")</f>
        <v>7</v>
      </c>
      <c r="N10" s="10" t="n">
        <f aca="false">IFERROR(SUMIFS(Checks!$F$2:$F$1297,Checks!$A$2:$A$1297,$C10,Checks!$C$2:$C$1297,"B")/(2*COUNTIFS(Checks!$A$2:$A$1297,$C10,Checks!$C$2:$C$1297,"B",Checks!$F$2:$F$1297,"&gt;=0")),"")</f>
        <v>0.75</v>
      </c>
      <c r="O10" s="11" t="n">
        <f aca="false">COUNTIFS(Checks!$A$2:$A$1297,$C10,Checks!$C$2:$C$1297,"B",Checks!$F$2:$F$1297,"&gt;=0")</f>
        <v>4</v>
      </c>
      <c r="P10" s="10" t="n">
        <f aca="false">IFERROR(SUMIFS(Checks!$F$2:$F$1297,Checks!$A$2:$A$1297,$C10,Checks!$C$2:$C$1297,"T")/(2*COUNTIFS(Checks!$A$2:$A$1297,$C10,Checks!$C$2:$C$1297,"T",Checks!$F$2:$F$1297,"&gt;=0")),"")</f>
        <v>1</v>
      </c>
      <c r="Q10" s="11" t="n">
        <f aca="false">COUNTIFS(Checks!$A$2:$A$1297,$C10,Checks!$C$2:$C$1297,"T",Checks!$F$2:$F$1297,"&gt;=0")</f>
        <v>4</v>
      </c>
      <c r="R10" s="10" t="n">
        <f aca="false">IFERROR(SUMIFS(Checks!$F$2:$F$1297,Checks!$A$2:$A$1297,$C10,Checks!$C$2:$C$1297,"N")/(2*COUNTIFS(Checks!$A$2:$A$1297,$C10,Checks!$C$2:$C$1297,"N",Checks!$F$2:$F$1297,"&gt;=0")),"")</f>
        <v>0.666666666666667</v>
      </c>
      <c r="S10" s="11" t="n">
        <f aca="false">COUNTIFS(Checks!$A$2:$A$1297,$C10,Checks!$C$2:$C$1297,"N",Checks!$F$2:$F$1297,"&gt;=0")</f>
        <v>3</v>
      </c>
      <c r="T10" s="6" t="n">
        <f aca="false">K10+M10+O10+Q10+S10</f>
        <v>25</v>
      </c>
      <c r="U10" s="12" t="n">
        <f aca="false">T10/29</f>
        <v>0.862068965517241</v>
      </c>
      <c r="V10" s="6" t="str">
        <f aca="false">IF(T10&gt;=26,"High",IF(T10&gt;=20,"Medium","Low"))</f>
        <v>Medium</v>
      </c>
      <c r="W10" s="13" t="n">
        <f aca="false">IF((IF(K10&gt;0,Rubric!$C$3,0)+IF(M10&gt;0,Rubric!$C$4,0)+IF(O10&gt;0,Rubric!$C$5,0)+IF(Q10&gt;0,Rubric!$C$6,0)+IF(S10&gt;0,Rubric!$C$7,0))=0,"",ROUND(100*(IF(K10&gt;0,Rubric!$C$3*J10,0)+IF(M10&gt;0,Rubric!$C$4*L10,0)+IF(O10&gt;0,Rubric!$C$5*N10,0)+IF(Q10&gt;0,Rubric!$C$6*P10,0)+IF(S10&gt;0,Rubric!$C$7*R10,0))/(IF(K10&gt;0,Rubric!$C$3,0)+IF(M10&gt;0,Rubric!$C$4,0)+IF(O10&gt;0,Rubric!$C$5,0)+IF(Q10&gt;0,Rubric!$C$6,0)+IF(S10&gt;0,Rubric!$C$7,0)),1))</f>
        <v>81.7</v>
      </c>
      <c r="X10" s="14" t="str">
        <f aca="false">IF(W10="","",IF(W10&gt;=Rubric!$C$11,"A",IF(W10&gt;=Rubric!$C$12,"B",IF(W10&gt;=Rubric!$C$13,"C",IF(W10&gt;=Rubric!$C$14,"D","F")))))</f>
        <v>B</v>
      </c>
      <c r="Y10" s="8" t="str">
        <f aca="false">IF(X10="","",IF(X10="A","Benchmark",IF(X10="B","Strong",IF(X10="C","Developing",IF(X10="D","Needs work","At risk")))))</f>
        <v>Strong</v>
      </c>
      <c r="Z10" s="8" t="str">
        <f aca="false">IF(COUNT(J10,L10,N10,P10,R10)=0,"",INDEX({"Findability","Catalog","Buy","Trust","Content"},MATCH(MIN(J10,L10,N10,P10,R10),CHOOSE({1,2,3,4,5},J10,L10,N10,P10,R10),0)))</f>
        <v>Content</v>
      </c>
      <c r="AA10" s="8"/>
      <c r="AB10" s="15" t="s">
        <v>88</v>
      </c>
    </row>
    <row r="11" customFormat="false" ht="30" hidden="false" customHeight="true" outlineLevel="0" collapsed="false">
      <c r="A11" s="6" t="n">
        <f aca="false">IF(W11="","",RANK(W11,$W$2:$W$25,0))</f>
        <v>11</v>
      </c>
      <c r="B11" s="6" t="n">
        <f aca="false">IF(W11="","",1+COUNTIFS($D$2:$D$25,"Benchmark",$W$2:$W$25,"&gt;"&amp;W11))</f>
        <v>10</v>
      </c>
      <c r="C11" s="7" t="s">
        <v>89</v>
      </c>
      <c r="D11" s="6" t="s">
        <v>45</v>
      </c>
      <c r="E11" s="8" t="s">
        <v>90</v>
      </c>
      <c r="F11" s="8" t="s">
        <v>60</v>
      </c>
      <c r="G11" s="8" t="s">
        <v>91</v>
      </c>
      <c r="H11" s="9" t="s">
        <v>92</v>
      </c>
      <c r="I11" s="6" t="s">
        <v>50</v>
      </c>
      <c r="J11" s="10" t="n">
        <f aca="false">IFERROR(SUMIFS(Checks!$F$2:$F$1297,Checks!$A$2:$A$1297,$C11,Checks!$C$2:$C$1297,"F")/(2*COUNTIFS(Checks!$A$2:$A$1297,$C11,Checks!$C$2:$C$1297,"F",Checks!$F$2:$F$1297,"&gt;=0")),"")</f>
        <v>0.785714285714286</v>
      </c>
      <c r="K11" s="11" t="n">
        <f aca="false">COUNTIFS(Checks!$A$2:$A$1297,$C11,Checks!$C$2:$C$1297,"F",Checks!$F$2:$F$1297,"&gt;=0")</f>
        <v>7</v>
      </c>
      <c r="L11" s="10" t="n">
        <f aca="false">IFERROR(SUMIFS(Checks!$F$2:$F$1297,Checks!$A$2:$A$1297,$C11,Checks!$C$2:$C$1297,"C")/(2*COUNTIFS(Checks!$A$2:$A$1297,$C11,Checks!$C$2:$C$1297,"C",Checks!$F$2:$F$1297,"&gt;=0")),"")</f>
        <v>0.9375</v>
      </c>
      <c r="M11" s="11" t="n">
        <f aca="false">COUNTIFS(Checks!$A$2:$A$1297,$C11,Checks!$C$2:$C$1297,"C",Checks!$F$2:$F$1297,"&gt;=0")</f>
        <v>8</v>
      </c>
      <c r="N11" s="10" t="n">
        <f aca="false">IFERROR(SUMIFS(Checks!$F$2:$F$1297,Checks!$A$2:$A$1297,$C11,Checks!$C$2:$C$1297,"B")/(2*COUNTIFS(Checks!$A$2:$A$1297,$C11,Checks!$C$2:$C$1297,"B",Checks!$F$2:$F$1297,"&gt;=0")),"")</f>
        <v>0.6</v>
      </c>
      <c r="O11" s="11" t="n">
        <f aca="false">COUNTIFS(Checks!$A$2:$A$1297,$C11,Checks!$C$2:$C$1297,"B",Checks!$F$2:$F$1297,"&gt;=0")</f>
        <v>5</v>
      </c>
      <c r="P11" s="10" t="n">
        <f aca="false">IFERROR(SUMIFS(Checks!$F$2:$F$1297,Checks!$A$2:$A$1297,$C11,Checks!$C$2:$C$1297,"T")/(2*COUNTIFS(Checks!$A$2:$A$1297,$C11,Checks!$C$2:$C$1297,"T",Checks!$F$2:$F$1297,"&gt;=0")),"")</f>
        <v>1</v>
      </c>
      <c r="Q11" s="11" t="n">
        <f aca="false">COUNTIFS(Checks!$A$2:$A$1297,$C11,Checks!$C$2:$C$1297,"T",Checks!$F$2:$F$1297,"&gt;=0")</f>
        <v>5</v>
      </c>
      <c r="R11" s="10" t="n">
        <f aca="false">IFERROR(SUMIFS(Checks!$F$2:$F$1297,Checks!$A$2:$A$1297,$C11,Checks!$C$2:$C$1297,"N")/(2*COUNTIFS(Checks!$A$2:$A$1297,$C11,Checks!$C$2:$C$1297,"N",Checks!$F$2:$F$1297,"&gt;=0")),"")</f>
        <v>0.666666666666667</v>
      </c>
      <c r="S11" s="11" t="n">
        <f aca="false">COUNTIFS(Checks!$A$2:$A$1297,$C11,Checks!$C$2:$C$1297,"N",Checks!$F$2:$F$1297,"&gt;=0")</f>
        <v>3</v>
      </c>
      <c r="T11" s="6" t="n">
        <f aca="false">K11+M11+O11+Q11+S11</f>
        <v>28</v>
      </c>
      <c r="U11" s="12" t="n">
        <f aca="false">T11/29</f>
        <v>0.96551724137931</v>
      </c>
      <c r="V11" s="6" t="str">
        <f aca="false">IF(T11&gt;=26,"High",IF(T11&gt;=20,"Medium","Low"))</f>
        <v>High</v>
      </c>
      <c r="W11" s="13" t="n">
        <f aca="false">IF((IF(K11&gt;0,Rubric!$C$3,0)+IF(M11&gt;0,Rubric!$C$4,0)+IF(O11&gt;0,Rubric!$C$5,0)+IF(Q11&gt;0,Rubric!$C$6,0)+IF(S11&gt;0,Rubric!$C$7,0))=0,"",ROUND(100*(IF(K11&gt;0,Rubric!$C$3*J11,0)+IF(M11&gt;0,Rubric!$C$4*L11,0)+IF(O11&gt;0,Rubric!$C$5*N11,0)+IF(Q11&gt;0,Rubric!$C$6*P11,0)+IF(S11&gt;0,Rubric!$C$7*R11,0))/(IF(K11&gt;0,Rubric!$C$3,0)+IF(M11&gt;0,Rubric!$C$4,0)+IF(O11&gt;0,Rubric!$C$5,0)+IF(Q11&gt;0,Rubric!$C$6,0)+IF(S11&gt;0,Rubric!$C$7,0)),1))</f>
        <v>81.4</v>
      </c>
      <c r="X11" s="14" t="str">
        <f aca="false">IF(W11="","",IF(W11&gt;=Rubric!$C$11,"A",IF(W11&gt;=Rubric!$C$12,"B",IF(W11&gt;=Rubric!$C$13,"C",IF(W11&gt;=Rubric!$C$14,"D","F")))))</f>
        <v>B</v>
      </c>
      <c r="Y11" s="8" t="str">
        <f aca="false">IF(X11="","",IF(X11="A","Benchmark",IF(X11="B","Strong",IF(X11="C","Developing",IF(X11="D","Needs work","At risk")))))</f>
        <v>Strong</v>
      </c>
      <c r="Z11" s="8" t="str">
        <f aca="false">IF(COUNT(J11,L11,N11,P11,R11)=0,"",INDEX({"Findability","Catalog","Buy","Trust","Content"},MATCH(MIN(J11,L11,N11,P11,R11),CHOOSE({1,2,3,4,5},J11,L11,N11,P11,R11),0)))</f>
        <v>Buy</v>
      </c>
      <c r="AA11" s="8"/>
      <c r="AB11" s="15" t="s">
        <v>93</v>
      </c>
    </row>
    <row r="12" customFormat="false" ht="30" hidden="false" customHeight="true" outlineLevel="0" collapsed="false">
      <c r="A12" s="6" t="n">
        <f aca="false">IF(W12="","",RANK(W12,$W$2:$W$25,0))</f>
        <v>12</v>
      </c>
      <c r="B12" s="6" t="n">
        <f aca="false">IF(W12="","",1+COUNTIFS($D$2:$D$25,"Benchmark",$W$2:$W$25,"&gt;"&amp;W12))</f>
        <v>11</v>
      </c>
      <c r="C12" s="7" t="s">
        <v>94</v>
      </c>
      <c r="D12" s="6" t="s">
        <v>45</v>
      </c>
      <c r="E12" s="8" t="s">
        <v>46</v>
      </c>
      <c r="F12" s="8" t="s">
        <v>60</v>
      </c>
      <c r="G12" s="8" t="s">
        <v>95</v>
      </c>
      <c r="H12" s="9" t="s">
        <v>96</v>
      </c>
      <c r="I12" s="6" t="s">
        <v>50</v>
      </c>
      <c r="J12" s="10" t="n">
        <f aca="false">IFERROR(SUMIFS(Checks!$F$2:$F$1297,Checks!$A$2:$A$1297,$C12,Checks!$C$2:$C$1297,"F")/(2*COUNTIFS(Checks!$A$2:$A$1297,$C12,Checks!$C$2:$C$1297,"F",Checks!$F$2:$F$1297,"&gt;=0")),"")</f>
        <v>1</v>
      </c>
      <c r="K12" s="11" t="n">
        <f aca="false">COUNTIFS(Checks!$A$2:$A$1297,$C12,Checks!$C$2:$C$1297,"F",Checks!$F$2:$F$1297,"&gt;=0")</f>
        <v>7</v>
      </c>
      <c r="L12" s="10" t="n">
        <f aca="false">IFERROR(SUMIFS(Checks!$F$2:$F$1297,Checks!$A$2:$A$1297,$C12,Checks!$C$2:$C$1297,"C")/(2*COUNTIFS(Checks!$A$2:$A$1297,$C12,Checks!$C$2:$C$1297,"C",Checks!$F$2:$F$1297,"&gt;=0")),"")</f>
        <v>0.75</v>
      </c>
      <c r="M12" s="11" t="n">
        <f aca="false">COUNTIFS(Checks!$A$2:$A$1297,$C12,Checks!$C$2:$C$1297,"C",Checks!$F$2:$F$1297,"&gt;=0")</f>
        <v>8</v>
      </c>
      <c r="N12" s="10" t="n">
        <f aca="false">IFERROR(SUMIFS(Checks!$F$2:$F$1297,Checks!$A$2:$A$1297,$C12,Checks!$C$2:$C$1297,"B")/(2*COUNTIFS(Checks!$A$2:$A$1297,$C12,Checks!$C$2:$C$1297,"B",Checks!$F$2:$F$1297,"&gt;=0")),"")</f>
        <v>0.75</v>
      </c>
      <c r="O12" s="11" t="n">
        <f aca="false">COUNTIFS(Checks!$A$2:$A$1297,$C12,Checks!$C$2:$C$1297,"B",Checks!$F$2:$F$1297,"&gt;=0")</f>
        <v>4</v>
      </c>
      <c r="P12" s="10" t="n">
        <f aca="false">IFERROR(SUMIFS(Checks!$F$2:$F$1297,Checks!$A$2:$A$1297,$C12,Checks!$C$2:$C$1297,"T")/(2*COUNTIFS(Checks!$A$2:$A$1297,$C12,Checks!$C$2:$C$1297,"T",Checks!$F$2:$F$1297,"&gt;=0")),"")</f>
        <v>1</v>
      </c>
      <c r="Q12" s="11" t="n">
        <f aca="false">COUNTIFS(Checks!$A$2:$A$1297,$C12,Checks!$C$2:$C$1297,"T",Checks!$F$2:$F$1297,"&gt;=0")</f>
        <v>4</v>
      </c>
      <c r="R12" s="10" t="n">
        <f aca="false">IFERROR(SUMIFS(Checks!$F$2:$F$1297,Checks!$A$2:$A$1297,$C12,Checks!$C$2:$C$1297,"N")/(2*COUNTIFS(Checks!$A$2:$A$1297,$C12,Checks!$C$2:$C$1297,"N",Checks!$F$2:$F$1297,"&gt;=0")),"")</f>
        <v>0.333333333333333</v>
      </c>
      <c r="S12" s="11" t="n">
        <f aca="false">COUNTIFS(Checks!$A$2:$A$1297,$C12,Checks!$C$2:$C$1297,"N",Checks!$F$2:$F$1297,"&gt;=0")</f>
        <v>3</v>
      </c>
      <c r="T12" s="6" t="n">
        <f aca="false">K12+M12+O12+Q12+S12</f>
        <v>26</v>
      </c>
      <c r="U12" s="12" t="n">
        <f aca="false">T12/29</f>
        <v>0.896551724137931</v>
      </c>
      <c r="V12" s="6" t="str">
        <f aca="false">IF(T12&gt;=26,"High",IF(T12&gt;=20,"Medium","Low"))</f>
        <v>High</v>
      </c>
      <c r="W12" s="13" t="n">
        <f aca="false">IF((IF(K12&gt;0,Rubric!$C$3,0)+IF(M12&gt;0,Rubric!$C$4,0)+IF(O12&gt;0,Rubric!$C$5,0)+IF(Q12&gt;0,Rubric!$C$6,0)+IF(S12&gt;0,Rubric!$C$7,0))=0,"",ROUND(100*(IF(K12&gt;0,Rubric!$C$3*J12,0)+IF(M12&gt;0,Rubric!$C$4*L12,0)+IF(O12&gt;0,Rubric!$C$5*N12,0)+IF(Q12&gt;0,Rubric!$C$6*P12,0)+IF(S12&gt;0,Rubric!$C$7*R12,0))/(IF(K12&gt;0,Rubric!$C$3,0)+IF(M12&gt;0,Rubric!$C$4,0)+IF(O12&gt;0,Rubric!$C$5,0)+IF(Q12&gt;0,Rubric!$C$6,0)+IF(S12&gt;0,Rubric!$C$7,0)),1))</f>
        <v>80.8</v>
      </c>
      <c r="X12" s="14" t="str">
        <f aca="false">IF(W12="","",IF(W12&gt;=Rubric!$C$11,"A",IF(W12&gt;=Rubric!$C$12,"B",IF(W12&gt;=Rubric!$C$13,"C",IF(W12&gt;=Rubric!$C$14,"D","F")))))</f>
        <v>B</v>
      </c>
      <c r="Y12" s="8" t="str">
        <f aca="false">IF(X12="","",IF(X12="A","Benchmark",IF(X12="B","Strong",IF(X12="C","Developing",IF(X12="D","Needs work","At risk")))))</f>
        <v>Strong</v>
      </c>
      <c r="Z12" s="8" t="str">
        <f aca="false">IF(COUNT(J12,L12,N12,P12,R12)=0,"",INDEX({"Findability","Catalog","Buy","Trust","Content"},MATCH(MIN(J12,L12,N12,P12,R12),CHOOSE({1,2,3,4,5},J12,L12,N12,P12,R12),0)))</f>
        <v>Content</v>
      </c>
      <c r="AA12" s="8"/>
      <c r="AB12" s="15" t="s">
        <v>97</v>
      </c>
    </row>
    <row r="13" customFormat="false" ht="30" hidden="false" customHeight="true" outlineLevel="0" collapsed="false">
      <c r="A13" s="6" t="n">
        <f aca="false">IF(W13="","",RANK(W13,$W$2:$W$25,0))</f>
        <v>14</v>
      </c>
      <c r="B13" s="6" t="n">
        <f aca="false">IF(W13="","",1+COUNTIFS($D$2:$D$25,"Benchmark",$W$2:$W$25,"&gt;"&amp;W13))</f>
        <v>12</v>
      </c>
      <c r="C13" s="7" t="s">
        <v>98</v>
      </c>
      <c r="D13" s="6" t="s">
        <v>45</v>
      </c>
      <c r="E13" s="8" t="s">
        <v>53</v>
      </c>
      <c r="F13" s="8" t="s">
        <v>99</v>
      </c>
      <c r="G13" s="8" t="s">
        <v>100</v>
      </c>
      <c r="H13" s="9" t="s">
        <v>101</v>
      </c>
      <c r="I13" s="6" t="s">
        <v>50</v>
      </c>
      <c r="J13" s="10" t="n">
        <f aca="false">IFERROR(SUMIFS(Checks!$F$2:$F$1297,Checks!$A$2:$A$1297,$C13,Checks!$C$2:$C$1297,"F")/(2*COUNTIFS(Checks!$A$2:$A$1297,$C13,Checks!$C$2:$C$1297,"F",Checks!$F$2:$F$1297,"&gt;=0")),"")</f>
        <v>0.857142857142857</v>
      </c>
      <c r="K13" s="11" t="n">
        <f aca="false">COUNTIFS(Checks!$A$2:$A$1297,$C13,Checks!$C$2:$C$1297,"F",Checks!$F$2:$F$1297,"&gt;=0")</f>
        <v>7</v>
      </c>
      <c r="L13" s="10" t="n">
        <f aca="false">IFERROR(SUMIFS(Checks!$F$2:$F$1297,Checks!$A$2:$A$1297,$C13,Checks!$C$2:$C$1297,"C")/(2*COUNTIFS(Checks!$A$2:$A$1297,$C13,Checks!$C$2:$C$1297,"C",Checks!$F$2:$F$1297,"&gt;=0")),"")</f>
        <v>0.625</v>
      </c>
      <c r="M13" s="11" t="n">
        <f aca="false">COUNTIFS(Checks!$A$2:$A$1297,$C13,Checks!$C$2:$C$1297,"C",Checks!$F$2:$F$1297,"&gt;=0")</f>
        <v>8</v>
      </c>
      <c r="N13" s="10" t="n">
        <f aca="false">IFERROR(SUMIFS(Checks!$F$2:$F$1297,Checks!$A$2:$A$1297,$C13,Checks!$C$2:$C$1297,"B")/(2*COUNTIFS(Checks!$A$2:$A$1297,$C13,Checks!$C$2:$C$1297,"B",Checks!$F$2:$F$1297,"&gt;=0")),"")</f>
        <v>0.75</v>
      </c>
      <c r="O13" s="11" t="n">
        <f aca="false">COUNTIFS(Checks!$A$2:$A$1297,$C13,Checks!$C$2:$C$1297,"B",Checks!$F$2:$F$1297,"&gt;=0")</f>
        <v>4</v>
      </c>
      <c r="P13" s="10" t="n">
        <f aca="false">IFERROR(SUMIFS(Checks!$F$2:$F$1297,Checks!$A$2:$A$1297,$C13,Checks!$C$2:$C$1297,"T")/(2*COUNTIFS(Checks!$A$2:$A$1297,$C13,Checks!$C$2:$C$1297,"T",Checks!$F$2:$F$1297,"&gt;=0")),"")</f>
        <v>0.75</v>
      </c>
      <c r="Q13" s="11" t="n">
        <f aca="false">COUNTIFS(Checks!$A$2:$A$1297,$C13,Checks!$C$2:$C$1297,"T",Checks!$F$2:$F$1297,"&gt;=0")</f>
        <v>4</v>
      </c>
      <c r="R13" s="10" t="n">
        <f aca="false">IFERROR(SUMIFS(Checks!$F$2:$F$1297,Checks!$A$2:$A$1297,$C13,Checks!$C$2:$C$1297,"N")/(2*COUNTIFS(Checks!$A$2:$A$1297,$C13,Checks!$C$2:$C$1297,"N",Checks!$F$2:$F$1297,"&gt;=0")),"")</f>
        <v>1</v>
      </c>
      <c r="S13" s="11" t="n">
        <f aca="false">COUNTIFS(Checks!$A$2:$A$1297,$C13,Checks!$C$2:$C$1297,"N",Checks!$F$2:$F$1297,"&gt;=0")</f>
        <v>3</v>
      </c>
      <c r="T13" s="6" t="n">
        <f aca="false">K13+M13+O13+Q13+S13</f>
        <v>26</v>
      </c>
      <c r="U13" s="12" t="n">
        <f aca="false">T13/29</f>
        <v>0.896551724137931</v>
      </c>
      <c r="V13" s="6" t="str">
        <f aca="false">IF(T13&gt;=26,"High",IF(T13&gt;=20,"Medium","Low"))</f>
        <v>High</v>
      </c>
      <c r="W13" s="13" t="n">
        <f aca="false">IF((IF(K13&gt;0,Rubric!$C$3,0)+IF(M13&gt;0,Rubric!$C$4,0)+IF(O13&gt;0,Rubric!$C$5,0)+IF(Q13&gt;0,Rubric!$C$6,0)+IF(S13&gt;0,Rubric!$C$7,0))=0,"",ROUND(100*(IF(K13&gt;0,Rubric!$C$3*J13,0)+IF(M13&gt;0,Rubric!$C$4*L13,0)+IF(O13&gt;0,Rubric!$C$5*N13,0)+IF(Q13&gt;0,Rubric!$C$6*P13,0)+IF(S13&gt;0,Rubric!$C$7*R13,0))/(IF(K13&gt;0,Rubric!$C$3,0)+IF(M13&gt;0,Rubric!$C$4,0)+IF(O13&gt;0,Rubric!$C$5,0)+IF(Q13&gt;0,Rubric!$C$6,0)+IF(S13&gt;0,Rubric!$C$7,0)),1))</f>
        <v>76.4</v>
      </c>
      <c r="X13" s="14" t="str">
        <f aca="false">IF(W13="","",IF(W13&gt;=Rubric!$C$11,"A",IF(W13&gt;=Rubric!$C$12,"B",IF(W13&gt;=Rubric!$C$13,"C",IF(W13&gt;=Rubric!$C$14,"D","F")))))</f>
        <v>B</v>
      </c>
      <c r="Y13" s="8" t="str">
        <f aca="false">IF(X13="","",IF(X13="A","Benchmark",IF(X13="B","Strong",IF(X13="C","Developing",IF(X13="D","Needs work","At risk")))))</f>
        <v>Strong</v>
      </c>
      <c r="Z13" s="8" t="str">
        <f aca="false">IF(COUNT(J13,L13,N13,P13,R13)=0,"",INDEX({"Findability","Catalog","Buy","Trust","Content"},MATCH(MIN(J13,L13,N13,P13,R13),CHOOSE({1,2,3,4,5},J13,L13,N13,P13,R13),0)))</f>
        <v>Catalog</v>
      </c>
      <c r="AA13" s="8"/>
      <c r="AB13" s="15" t="s">
        <v>102</v>
      </c>
    </row>
    <row r="14" customFormat="false" ht="30" hidden="false" customHeight="true" outlineLevel="0" collapsed="false">
      <c r="A14" s="6" t="n">
        <f aca="false">IF(W14="","",RANK(W14,$W$2:$W$25,0))</f>
        <v>15</v>
      </c>
      <c r="B14" s="6" t="n">
        <f aca="false">IF(W14="","",1+COUNTIFS($D$2:$D$25,"Benchmark",$W$2:$W$25,"&gt;"&amp;W14))</f>
        <v>13</v>
      </c>
      <c r="C14" s="7" t="s">
        <v>103</v>
      </c>
      <c r="D14" s="6" t="s">
        <v>45</v>
      </c>
      <c r="E14" s="8" t="s">
        <v>53</v>
      </c>
      <c r="F14" s="8" t="s">
        <v>54</v>
      </c>
      <c r="G14" s="8" t="s">
        <v>104</v>
      </c>
      <c r="H14" s="9" t="s">
        <v>105</v>
      </c>
      <c r="I14" s="6" t="s">
        <v>50</v>
      </c>
      <c r="J14" s="10" t="n">
        <f aca="false">IFERROR(SUMIFS(Checks!$F$2:$F$1297,Checks!$A$2:$A$1297,$C14,Checks!$C$2:$C$1297,"F")/(2*COUNTIFS(Checks!$A$2:$A$1297,$C14,Checks!$C$2:$C$1297,"F",Checks!$F$2:$F$1297,"&gt;=0")),"")</f>
        <v>0.666666666666667</v>
      </c>
      <c r="K14" s="11" t="n">
        <f aca="false">COUNTIFS(Checks!$A$2:$A$1297,$C14,Checks!$C$2:$C$1297,"F",Checks!$F$2:$F$1297,"&gt;=0")</f>
        <v>3</v>
      </c>
      <c r="L14" s="10" t="n">
        <f aca="false">IFERROR(SUMIFS(Checks!$F$2:$F$1297,Checks!$A$2:$A$1297,$C14,Checks!$C$2:$C$1297,"C")/(2*COUNTIFS(Checks!$A$2:$A$1297,$C14,Checks!$C$2:$C$1297,"C",Checks!$F$2:$F$1297,"&gt;=0")),"")</f>
        <v>0.75</v>
      </c>
      <c r="M14" s="11" t="n">
        <f aca="false">COUNTIFS(Checks!$A$2:$A$1297,$C14,Checks!$C$2:$C$1297,"C",Checks!$F$2:$F$1297,"&gt;=0")</f>
        <v>6</v>
      </c>
      <c r="N14" s="10" t="n">
        <f aca="false">IFERROR(SUMIFS(Checks!$F$2:$F$1297,Checks!$A$2:$A$1297,$C14,Checks!$C$2:$C$1297,"B")/(2*COUNTIFS(Checks!$A$2:$A$1297,$C14,Checks!$C$2:$C$1297,"B",Checks!$F$2:$F$1297,"&gt;=0")),"")</f>
        <v>0.75</v>
      </c>
      <c r="O14" s="11" t="n">
        <f aca="false">COUNTIFS(Checks!$A$2:$A$1297,$C14,Checks!$C$2:$C$1297,"B",Checks!$F$2:$F$1297,"&gt;=0")</f>
        <v>4</v>
      </c>
      <c r="P14" s="10" t="n">
        <f aca="false">IFERROR(SUMIFS(Checks!$F$2:$F$1297,Checks!$A$2:$A$1297,$C14,Checks!$C$2:$C$1297,"T")/(2*COUNTIFS(Checks!$A$2:$A$1297,$C14,Checks!$C$2:$C$1297,"T",Checks!$F$2:$F$1297,"&gt;=0")),"")</f>
        <v>0.875</v>
      </c>
      <c r="Q14" s="11" t="n">
        <f aca="false">COUNTIFS(Checks!$A$2:$A$1297,$C14,Checks!$C$2:$C$1297,"T",Checks!$F$2:$F$1297,"&gt;=0")</f>
        <v>4</v>
      </c>
      <c r="R14" s="10" t="n">
        <f aca="false">IFERROR(SUMIFS(Checks!$F$2:$F$1297,Checks!$A$2:$A$1297,$C14,Checks!$C$2:$C$1297,"N")/(2*COUNTIFS(Checks!$A$2:$A$1297,$C14,Checks!$C$2:$C$1297,"N",Checks!$F$2:$F$1297,"&gt;=0")),"")</f>
        <v>0.833333333333333</v>
      </c>
      <c r="S14" s="11" t="n">
        <f aca="false">COUNTIFS(Checks!$A$2:$A$1297,$C14,Checks!$C$2:$C$1297,"N",Checks!$F$2:$F$1297,"&gt;=0")</f>
        <v>3</v>
      </c>
      <c r="T14" s="6" t="n">
        <f aca="false">K14+M14+O14+Q14+S14</f>
        <v>20</v>
      </c>
      <c r="U14" s="12" t="n">
        <f aca="false">T14/29</f>
        <v>0.689655172413793</v>
      </c>
      <c r="V14" s="6" t="str">
        <f aca="false">IF(T14&gt;=26,"High",IF(T14&gt;=20,"Medium","Low"))</f>
        <v>Medium</v>
      </c>
      <c r="W14" s="13" t="n">
        <f aca="false">IF((IF(K14&gt;0,Rubric!$C$3,0)+IF(M14&gt;0,Rubric!$C$4,0)+IF(O14&gt;0,Rubric!$C$5,0)+IF(Q14&gt;0,Rubric!$C$6,0)+IF(S14&gt;0,Rubric!$C$7,0))=0,"",ROUND(100*(IF(K14&gt;0,Rubric!$C$3*J14,0)+IF(M14&gt;0,Rubric!$C$4*L14,0)+IF(O14&gt;0,Rubric!$C$5*N14,0)+IF(Q14&gt;0,Rubric!$C$6*P14,0)+IF(S14&gt;0,Rubric!$C$7*R14,0))/(IF(K14&gt;0,Rubric!$C$3,0)+IF(M14&gt;0,Rubric!$C$4,0)+IF(O14&gt;0,Rubric!$C$5,0)+IF(Q14&gt;0,Rubric!$C$6,0)+IF(S14&gt;0,Rubric!$C$7,0)),1))</f>
        <v>75.6</v>
      </c>
      <c r="X14" s="14" t="str">
        <f aca="false">IF(W14="","",IF(W14&gt;=Rubric!$C$11,"A",IF(W14&gt;=Rubric!$C$12,"B",IF(W14&gt;=Rubric!$C$13,"C",IF(W14&gt;=Rubric!$C$14,"D","F")))))</f>
        <v>B</v>
      </c>
      <c r="Y14" s="8" t="str">
        <f aca="false">IF(X14="","",IF(X14="A","Benchmark",IF(X14="B","Strong",IF(X14="C","Developing",IF(X14="D","Needs work","At risk")))))</f>
        <v>Strong</v>
      </c>
      <c r="Z14" s="8" t="str">
        <f aca="false">IF(COUNT(J14,L14,N14,P14,R14)=0,"",INDEX({"Findability","Catalog","Buy","Trust","Content"},MATCH(MIN(J14,L14,N14,P14,R14),CHOOSE({1,2,3,4,5},J14,L14,N14,P14,R14),0)))</f>
        <v>Findability</v>
      </c>
      <c r="AA14" s="8"/>
      <c r="AB14" s="15" t="s">
        <v>106</v>
      </c>
    </row>
    <row r="15" customFormat="false" ht="30" hidden="false" customHeight="true" outlineLevel="0" collapsed="false">
      <c r="A15" s="6" t="n">
        <f aca="false">IF(W15="","",RANK(W15,$W$2:$W$25,0))</f>
        <v>16</v>
      </c>
      <c r="B15" s="6" t="n">
        <f aca="false">IF(W15="","",1+COUNTIFS($D$2:$D$25,"Benchmark",$W$2:$W$25,"&gt;"&amp;W15))</f>
        <v>14</v>
      </c>
      <c r="C15" s="7" t="s">
        <v>107</v>
      </c>
      <c r="D15" s="6" t="s">
        <v>45</v>
      </c>
      <c r="E15" s="8" t="s">
        <v>53</v>
      </c>
      <c r="F15" s="8" t="s">
        <v>108</v>
      </c>
      <c r="G15" s="8" t="s">
        <v>109</v>
      </c>
      <c r="H15" s="9" t="s">
        <v>110</v>
      </c>
      <c r="I15" s="6" t="s">
        <v>50</v>
      </c>
      <c r="J15" s="10" t="n">
        <f aca="false">IFERROR(SUMIFS(Checks!$F$2:$F$1297,Checks!$A$2:$A$1297,$C15,Checks!$C$2:$C$1297,"F")/(2*COUNTIFS(Checks!$A$2:$A$1297,$C15,Checks!$C$2:$C$1297,"F",Checks!$F$2:$F$1297,"&gt;=0")),"")</f>
        <v>0.875</v>
      </c>
      <c r="K15" s="11" t="n">
        <f aca="false">COUNTIFS(Checks!$A$2:$A$1297,$C15,Checks!$C$2:$C$1297,"F",Checks!$F$2:$F$1297,"&gt;=0")</f>
        <v>4</v>
      </c>
      <c r="L15" s="10" t="n">
        <f aca="false">IFERROR(SUMIFS(Checks!$F$2:$F$1297,Checks!$A$2:$A$1297,$C15,Checks!$C$2:$C$1297,"C")/(2*COUNTIFS(Checks!$A$2:$A$1297,$C15,Checks!$C$2:$C$1297,"C",Checks!$F$2:$F$1297,"&gt;=0")),"")</f>
        <v>0.6875</v>
      </c>
      <c r="M15" s="11" t="n">
        <f aca="false">COUNTIFS(Checks!$A$2:$A$1297,$C15,Checks!$C$2:$C$1297,"C",Checks!$F$2:$F$1297,"&gt;=0")</f>
        <v>8</v>
      </c>
      <c r="N15" s="10" t="n">
        <f aca="false">IFERROR(SUMIFS(Checks!$F$2:$F$1297,Checks!$A$2:$A$1297,$C15,Checks!$C$2:$C$1297,"B")/(2*COUNTIFS(Checks!$A$2:$A$1297,$C15,Checks!$C$2:$C$1297,"B",Checks!$F$2:$F$1297,"&gt;=0")),"")</f>
        <v>0.833333333333333</v>
      </c>
      <c r="O15" s="11" t="n">
        <f aca="false">COUNTIFS(Checks!$A$2:$A$1297,$C15,Checks!$C$2:$C$1297,"B",Checks!$F$2:$F$1297,"&gt;=0")</f>
        <v>3</v>
      </c>
      <c r="P15" s="10" t="n">
        <f aca="false">IFERROR(SUMIFS(Checks!$F$2:$F$1297,Checks!$A$2:$A$1297,$C15,Checks!$C$2:$C$1297,"T")/(2*COUNTIFS(Checks!$A$2:$A$1297,$C15,Checks!$C$2:$C$1297,"T",Checks!$F$2:$F$1297,"&gt;=0")),"")</f>
        <v>0.666666666666667</v>
      </c>
      <c r="Q15" s="11" t="n">
        <f aca="false">COUNTIFS(Checks!$A$2:$A$1297,$C15,Checks!$C$2:$C$1297,"T",Checks!$F$2:$F$1297,"&gt;=0")</f>
        <v>3</v>
      </c>
      <c r="R15" s="10" t="n">
        <f aca="false">IFERROR(SUMIFS(Checks!$F$2:$F$1297,Checks!$A$2:$A$1297,$C15,Checks!$C$2:$C$1297,"N")/(2*COUNTIFS(Checks!$A$2:$A$1297,$C15,Checks!$C$2:$C$1297,"N",Checks!$F$2:$F$1297,"&gt;=0")),"")</f>
        <v>0.5</v>
      </c>
      <c r="S15" s="11" t="n">
        <f aca="false">COUNTIFS(Checks!$A$2:$A$1297,$C15,Checks!$C$2:$C$1297,"N",Checks!$F$2:$F$1297,"&gt;=0")</f>
        <v>1</v>
      </c>
      <c r="T15" s="6" t="n">
        <f aca="false">K15+M15+O15+Q15+S15</f>
        <v>19</v>
      </c>
      <c r="U15" s="12" t="n">
        <f aca="false">T15/29</f>
        <v>0.655172413793103</v>
      </c>
      <c r="V15" s="6" t="str">
        <f aca="false">IF(T15&gt;=26,"High",IF(T15&gt;=20,"Medium","Low"))</f>
        <v>Low</v>
      </c>
      <c r="W15" s="13" t="n">
        <f aca="false">IF((IF(K15&gt;0,Rubric!$C$3,0)+IF(M15&gt;0,Rubric!$C$4,0)+IF(O15&gt;0,Rubric!$C$5,0)+IF(Q15&gt;0,Rubric!$C$6,0)+IF(S15&gt;0,Rubric!$C$7,0))=0,"",ROUND(100*(IF(K15&gt;0,Rubric!$C$3*J15,0)+IF(M15&gt;0,Rubric!$C$4*L15,0)+IF(O15&gt;0,Rubric!$C$5*N15,0)+IF(Q15&gt;0,Rubric!$C$6*P15,0)+IF(S15&gt;0,Rubric!$C$7*R15,0))/(IF(K15&gt;0,Rubric!$C$3,0)+IF(M15&gt;0,Rubric!$C$4,0)+IF(O15&gt;0,Rubric!$C$5,0)+IF(Q15&gt;0,Rubric!$C$6,0)+IF(S15&gt;0,Rubric!$C$7,0)),1))</f>
        <v>74.2</v>
      </c>
      <c r="X15" s="14" t="str">
        <f aca="false">IF(W15="","",IF(W15&gt;=Rubric!$C$11,"A",IF(W15&gt;=Rubric!$C$12,"B",IF(W15&gt;=Rubric!$C$13,"C",IF(W15&gt;=Rubric!$C$14,"D","F")))))</f>
        <v>B</v>
      </c>
      <c r="Y15" s="8" t="str">
        <f aca="false">IF(X15="","",IF(X15="A","Benchmark",IF(X15="B","Strong",IF(X15="C","Developing",IF(X15="D","Needs work","At risk")))))</f>
        <v>Strong</v>
      </c>
      <c r="Z15" s="8" t="str">
        <f aca="false">IF(COUNT(J15,L15,N15,P15,R15)=0,"",INDEX({"Findability","Catalog","Buy","Trust","Content"},MATCH(MIN(J15,L15,N15,P15,R15),CHOOSE({1,2,3,4,5},J15,L15,N15,P15,R15),0)))</f>
        <v>Content</v>
      </c>
      <c r="AA15" s="8"/>
      <c r="AB15" s="15" t="s">
        <v>111</v>
      </c>
    </row>
    <row r="16" customFormat="false" ht="30" hidden="false" customHeight="true" outlineLevel="0" collapsed="false">
      <c r="A16" s="6" t="n">
        <f aca="false">IF(W16="","",RANK(W16,$W$2:$W$25,0))</f>
        <v>17</v>
      </c>
      <c r="B16" s="6" t="n">
        <f aca="false">IF(W16="","",1+COUNTIFS($D$2:$D$25,"Benchmark",$W$2:$W$25,"&gt;"&amp;W16))</f>
        <v>15</v>
      </c>
      <c r="C16" s="7" t="s">
        <v>112</v>
      </c>
      <c r="D16" s="6" t="s">
        <v>45</v>
      </c>
      <c r="E16" s="8" t="s">
        <v>90</v>
      </c>
      <c r="F16" s="8" t="s">
        <v>108</v>
      </c>
      <c r="G16" s="8" t="s">
        <v>113</v>
      </c>
      <c r="H16" s="9" t="s">
        <v>114</v>
      </c>
      <c r="I16" s="6" t="s">
        <v>50</v>
      </c>
      <c r="J16" s="10" t="n">
        <f aca="false">IFERROR(SUMIFS(Checks!$F$2:$F$1297,Checks!$A$2:$A$1297,$C16,Checks!$C$2:$C$1297,"F")/(2*COUNTIFS(Checks!$A$2:$A$1297,$C16,Checks!$C$2:$C$1297,"F",Checks!$F$2:$F$1297,"&gt;=0")),"")</f>
        <v>0.7</v>
      </c>
      <c r="K16" s="11" t="n">
        <f aca="false">COUNTIFS(Checks!$A$2:$A$1297,$C16,Checks!$C$2:$C$1297,"F",Checks!$F$2:$F$1297,"&gt;=0")</f>
        <v>5</v>
      </c>
      <c r="L16" s="10" t="n">
        <f aca="false">IFERROR(SUMIFS(Checks!$F$2:$F$1297,Checks!$A$2:$A$1297,$C16,Checks!$C$2:$C$1297,"C")/(2*COUNTIFS(Checks!$A$2:$A$1297,$C16,Checks!$C$2:$C$1297,"C",Checks!$F$2:$F$1297,"&gt;=0")),"")</f>
        <v>0.785714285714286</v>
      </c>
      <c r="M16" s="11" t="n">
        <f aca="false">COUNTIFS(Checks!$A$2:$A$1297,$C16,Checks!$C$2:$C$1297,"C",Checks!$F$2:$F$1297,"&gt;=0")</f>
        <v>7</v>
      </c>
      <c r="N16" s="10" t="n">
        <f aca="false">IFERROR(SUMIFS(Checks!$F$2:$F$1297,Checks!$A$2:$A$1297,$C16,Checks!$C$2:$C$1297,"B")/(2*COUNTIFS(Checks!$A$2:$A$1297,$C16,Checks!$C$2:$C$1297,"B",Checks!$F$2:$F$1297,"&gt;=0")),"")</f>
        <v>0.75</v>
      </c>
      <c r="O16" s="11" t="n">
        <f aca="false">COUNTIFS(Checks!$A$2:$A$1297,$C16,Checks!$C$2:$C$1297,"B",Checks!$F$2:$F$1297,"&gt;=0")</f>
        <v>4</v>
      </c>
      <c r="P16" s="10" t="n">
        <f aca="false">IFERROR(SUMIFS(Checks!$F$2:$F$1297,Checks!$A$2:$A$1297,$C16,Checks!$C$2:$C$1297,"T")/(2*COUNTIFS(Checks!$A$2:$A$1297,$C16,Checks!$C$2:$C$1297,"T",Checks!$F$2:$F$1297,"&gt;=0")),"")</f>
        <v>0.666666666666667</v>
      </c>
      <c r="Q16" s="11" t="n">
        <f aca="false">COUNTIFS(Checks!$A$2:$A$1297,$C16,Checks!$C$2:$C$1297,"T",Checks!$F$2:$F$1297,"&gt;=0")</f>
        <v>3</v>
      </c>
      <c r="R16" s="10" t="n">
        <f aca="false">IFERROR(SUMIFS(Checks!$F$2:$F$1297,Checks!$A$2:$A$1297,$C16,Checks!$C$2:$C$1297,"N")/(2*COUNTIFS(Checks!$A$2:$A$1297,$C16,Checks!$C$2:$C$1297,"N",Checks!$F$2:$F$1297,"&gt;=0")),"")</f>
        <v>0.5</v>
      </c>
      <c r="S16" s="11" t="n">
        <f aca="false">COUNTIFS(Checks!$A$2:$A$1297,$C16,Checks!$C$2:$C$1297,"N",Checks!$F$2:$F$1297,"&gt;=0")</f>
        <v>3</v>
      </c>
      <c r="T16" s="6" t="n">
        <f aca="false">K16+M16+O16+Q16+S16</f>
        <v>22</v>
      </c>
      <c r="U16" s="12" t="n">
        <f aca="false">T16/29</f>
        <v>0.758620689655172</v>
      </c>
      <c r="V16" s="6" t="str">
        <f aca="false">IF(T16&gt;=26,"High",IF(T16&gt;=20,"Medium","Low"))</f>
        <v>Medium</v>
      </c>
      <c r="W16" s="13" t="n">
        <f aca="false">IF((IF(K16&gt;0,Rubric!$C$3,0)+IF(M16&gt;0,Rubric!$C$4,0)+IF(O16&gt;0,Rubric!$C$5,0)+IF(Q16&gt;0,Rubric!$C$6,0)+IF(S16&gt;0,Rubric!$C$7,0))=0,"",ROUND(100*(IF(K16&gt;0,Rubric!$C$3*J16,0)+IF(M16&gt;0,Rubric!$C$4*L16,0)+IF(O16&gt;0,Rubric!$C$5*N16,0)+IF(Q16&gt;0,Rubric!$C$6*P16,0)+IF(S16&gt;0,Rubric!$C$7*R16,0))/(IF(K16&gt;0,Rubric!$C$3,0)+IF(M16&gt;0,Rubric!$C$4,0)+IF(O16&gt;0,Rubric!$C$5,0)+IF(Q16&gt;0,Rubric!$C$6,0)+IF(S16&gt;0,Rubric!$C$7,0)),1))</f>
        <v>71.1</v>
      </c>
      <c r="X16" s="14" t="str">
        <f aca="false">IF(W16="","",IF(W16&gt;=Rubric!$C$11,"A",IF(W16&gt;=Rubric!$C$12,"B",IF(W16&gt;=Rubric!$C$13,"C",IF(W16&gt;=Rubric!$C$14,"D","F")))))</f>
        <v>B</v>
      </c>
      <c r="Y16" s="8" t="str">
        <f aca="false">IF(X16="","",IF(X16="A","Benchmark",IF(X16="B","Strong",IF(X16="C","Developing",IF(X16="D","Needs work","At risk")))))</f>
        <v>Strong</v>
      </c>
      <c r="Z16" s="8" t="str">
        <f aca="false">IF(COUNT(J16,L16,N16,P16,R16)=0,"",INDEX({"Findability","Catalog","Buy","Trust","Content"},MATCH(MIN(J16,L16,N16,P16,R16),CHOOSE({1,2,3,4,5},J16,L16,N16,P16,R16),0)))</f>
        <v>Content</v>
      </c>
      <c r="AA16" s="8"/>
      <c r="AB16" s="15" t="s">
        <v>115</v>
      </c>
    </row>
    <row r="17" customFormat="false" ht="30" hidden="false" customHeight="true" outlineLevel="0" collapsed="false">
      <c r="A17" s="6" t="n">
        <f aca="false">IF(W17="","",RANK(W17,$W$2:$W$25,0))</f>
        <v>18</v>
      </c>
      <c r="B17" s="6" t="n">
        <f aca="false">IF(W17="","",1+COUNTIFS($D$2:$D$25,"Benchmark",$W$2:$W$25,"&gt;"&amp;W17))</f>
        <v>16</v>
      </c>
      <c r="C17" s="7" t="s">
        <v>116</v>
      </c>
      <c r="D17" s="6" t="s">
        <v>45</v>
      </c>
      <c r="E17" s="8" t="s">
        <v>90</v>
      </c>
      <c r="F17" s="8" t="s">
        <v>54</v>
      </c>
      <c r="G17" s="8" t="s">
        <v>91</v>
      </c>
      <c r="H17" s="9" t="s">
        <v>117</v>
      </c>
      <c r="I17" s="6" t="s">
        <v>50</v>
      </c>
      <c r="J17" s="10" t="n">
        <f aca="false">IFERROR(SUMIFS(Checks!$F$2:$F$1297,Checks!$A$2:$A$1297,$C17,Checks!$C$2:$C$1297,"F")/(2*COUNTIFS(Checks!$A$2:$A$1297,$C17,Checks!$C$2:$C$1297,"F",Checks!$F$2:$F$1297,"&gt;=0")),"")</f>
        <v>0.928571428571429</v>
      </c>
      <c r="K17" s="11" t="n">
        <f aca="false">COUNTIFS(Checks!$A$2:$A$1297,$C17,Checks!$C$2:$C$1297,"F",Checks!$F$2:$F$1297,"&gt;=0")</f>
        <v>7</v>
      </c>
      <c r="L17" s="10" t="n">
        <f aca="false">IFERROR(SUMIFS(Checks!$F$2:$F$1297,Checks!$A$2:$A$1297,$C17,Checks!$C$2:$C$1297,"C")/(2*COUNTIFS(Checks!$A$2:$A$1297,$C17,Checks!$C$2:$C$1297,"C",Checks!$F$2:$F$1297,"&gt;=0")),"")</f>
        <v>0.3125</v>
      </c>
      <c r="M17" s="11" t="n">
        <f aca="false">COUNTIFS(Checks!$A$2:$A$1297,$C17,Checks!$C$2:$C$1297,"C",Checks!$F$2:$F$1297,"&gt;=0")</f>
        <v>8</v>
      </c>
      <c r="N17" s="10" t="n">
        <f aca="false">IFERROR(SUMIFS(Checks!$F$2:$F$1297,Checks!$A$2:$A$1297,$C17,Checks!$C$2:$C$1297,"B")/(2*COUNTIFS(Checks!$A$2:$A$1297,$C17,Checks!$C$2:$C$1297,"B",Checks!$F$2:$F$1297,"&gt;=0")),"")</f>
        <v>0.6</v>
      </c>
      <c r="O17" s="11" t="n">
        <f aca="false">COUNTIFS(Checks!$A$2:$A$1297,$C17,Checks!$C$2:$C$1297,"B",Checks!$F$2:$F$1297,"&gt;=0")</f>
        <v>5</v>
      </c>
      <c r="P17" s="10" t="n">
        <f aca="false">IFERROR(SUMIFS(Checks!$F$2:$F$1297,Checks!$A$2:$A$1297,$C17,Checks!$C$2:$C$1297,"T")/(2*COUNTIFS(Checks!$A$2:$A$1297,$C17,Checks!$C$2:$C$1297,"T",Checks!$F$2:$F$1297,"&gt;=0")),"")</f>
        <v>0.9</v>
      </c>
      <c r="Q17" s="11" t="n">
        <f aca="false">COUNTIFS(Checks!$A$2:$A$1297,$C17,Checks!$C$2:$C$1297,"T",Checks!$F$2:$F$1297,"&gt;=0")</f>
        <v>5</v>
      </c>
      <c r="R17" s="10" t="n">
        <f aca="false">IFERROR(SUMIFS(Checks!$F$2:$F$1297,Checks!$A$2:$A$1297,$C17,Checks!$C$2:$C$1297,"N")/(2*COUNTIFS(Checks!$A$2:$A$1297,$C17,Checks!$C$2:$C$1297,"N",Checks!$F$2:$F$1297,"&gt;=0")),"")</f>
        <v>0.666666666666667</v>
      </c>
      <c r="S17" s="11" t="n">
        <f aca="false">COUNTIFS(Checks!$A$2:$A$1297,$C17,Checks!$C$2:$C$1297,"N",Checks!$F$2:$F$1297,"&gt;=0")</f>
        <v>3</v>
      </c>
      <c r="T17" s="6" t="n">
        <f aca="false">K17+M17+O17+Q17+S17</f>
        <v>28</v>
      </c>
      <c r="U17" s="12" t="n">
        <f aca="false">T17/29</f>
        <v>0.96551724137931</v>
      </c>
      <c r="V17" s="6" t="str">
        <f aca="false">IF(T17&gt;=26,"High",IF(T17&gt;=20,"Medium","Low"))</f>
        <v>High</v>
      </c>
      <c r="W17" s="13" t="n">
        <f aca="false">IF((IF(K17&gt;0,Rubric!$C$3,0)+IF(M17&gt;0,Rubric!$C$4,0)+IF(O17&gt;0,Rubric!$C$5,0)+IF(Q17&gt;0,Rubric!$C$6,0)+IF(S17&gt;0,Rubric!$C$7,0))=0,"",ROUND(100*(IF(K17&gt;0,Rubric!$C$3*J17,0)+IF(M17&gt;0,Rubric!$C$4*L17,0)+IF(O17&gt;0,Rubric!$C$5*N17,0)+IF(Q17&gt;0,Rubric!$C$6*P17,0)+IF(S17&gt;0,Rubric!$C$7*R17,0))/(IF(K17&gt;0,Rubric!$C$3,0)+IF(M17&gt;0,Rubric!$C$4,0)+IF(O17&gt;0,Rubric!$C$5,0)+IF(Q17&gt;0,Rubric!$C$6,0)+IF(S17&gt;0,Rubric!$C$7,0)),1))</f>
        <v>64.8</v>
      </c>
      <c r="X17" s="14" t="str">
        <f aca="false">IF(W17="","",IF(W17&gt;=Rubric!$C$11,"A",IF(W17&gt;=Rubric!$C$12,"B",IF(W17&gt;=Rubric!$C$13,"C",IF(W17&gt;=Rubric!$C$14,"D","F")))))</f>
        <v>C</v>
      </c>
      <c r="Y17" s="8" t="str">
        <f aca="false">IF(X17="","",IF(X17="A","Benchmark",IF(X17="B","Strong",IF(X17="C","Developing",IF(X17="D","Needs work","At risk")))))</f>
        <v>Developing</v>
      </c>
      <c r="Z17" s="8" t="str">
        <f aca="false">IF(COUNT(J17,L17,N17,P17,R17)=0,"",INDEX({"Findability","Catalog","Buy","Trust","Content"},MATCH(MIN(J17,L17,N17,P17,R17),CHOOSE({1,2,3,4,5},J17,L17,N17,P17,R17),0)))</f>
        <v>Catalog</v>
      </c>
      <c r="AA17" s="8"/>
      <c r="AB17" s="15" t="s">
        <v>118</v>
      </c>
    </row>
    <row r="18" customFormat="false" ht="30" hidden="false" customHeight="true" outlineLevel="0" collapsed="false">
      <c r="A18" s="6" t="n">
        <f aca="false">IF(W18="","",RANK(W18,$W$2:$W$25,0))</f>
        <v>18</v>
      </c>
      <c r="B18" s="6" t="n">
        <f aca="false">IF(W18="","",1+COUNTIFS($D$2:$D$25,"Benchmark",$W$2:$W$25,"&gt;"&amp;W18))</f>
        <v>16</v>
      </c>
      <c r="C18" s="7" t="s">
        <v>119</v>
      </c>
      <c r="D18" s="6" t="s">
        <v>45</v>
      </c>
      <c r="E18" s="8" t="s">
        <v>53</v>
      </c>
      <c r="F18" s="8" t="s">
        <v>54</v>
      </c>
      <c r="G18" s="8" t="s">
        <v>120</v>
      </c>
      <c r="H18" s="9" t="s">
        <v>121</v>
      </c>
      <c r="I18" s="6" t="s">
        <v>50</v>
      </c>
      <c r="J18" s="10" t="n">
        <f aca="false">IFERROR(SUMIFS(Checks!$F$2:$F$1297,Checks!$A$2:$A$1297,$C18,Checks!$C$2:$C$1297,"F")/(2*COUNTIFS(Checks!$A$2:$A$1297,$C18,Checks!$C$2:$C$1297,"F",Checks!$F$2:$F$1297,"&gt;=0")),"")</f>
        <v>0.571428571428571</v>
      </c>
      <c r="K18" s="11" t="n">
        <f aca="false">COUNTIFS(Checks!$A$2:$A$1297,$C18,Checks!$C$2:$C$1297,"F",Checks!$F$2:$F$1297,"&gt;=0")</f>
        <v>7</v>
      </c>
      <c r="L18" s="10" t="n">
        <f aca="false">IFERROR(SUMIFS(Checks!$F$2:$F$1297,Checks!$A$2:$A$1297,$C18,Checks!$C$2:$C$1297,"C")/(2*COUNTIFS(Checks!$A$2:$A$1297,$C18,Checks!$C$2:$C$1297,"C",Checks!$F$2:$F$1297,"&gt;=0")),"")</f>
        <v>0.666666666666667</v>
      </c>
      <c r="M18" s="11" t="n">
        <f aca="false">COUNTIFS(Checks!$A$2:$A$1297,$C18,Checks!$C$2:$C$1297,"C",Checks!$F$2:$F$1297,"&gt;=0")</f>
        <v>3</v>
      </c>
      <c r="N18" s="10" t="n">
        <f aca="false">IFERROR(SUMIFS(Checks!$F$2:$F$1297,Checks!$A$2:$A$1297,$C18,Checks!$C$2:$C$1297,"B")/(2*COUNTIFS(Checks!$A$2:$A$1297,$C18,Checks!$C$2:$C$1297,"B",Checks!$F$2:$F$1297,"&gt;=0")),"")</f>
        <v>0.666666666666667</v>
      </c>
      <c r="O18" s="11" t="n">
        <f aca="false">COUNTIFS(Checks!$A$2:$A$1297,$C18,Checks!$C$2:$C$1297,"B",Checks!$F$2:$F$1297,"&gt;=0")</f>
        <v>3</v>
      </c>
      <c r="P18" s="10" t="n">
        <f aca="false">IFERROR(SUMIFS(Checks!$F$2:$F$1297,Checks!$A$2:$A$1297,$C18,Checks!$C$2:$C$1297,"T")/(2*COUNTIFS(Checks!$A$2:$A$1297,$C18,Checks!$C$2:$C$1297,"T",Checks!$F$2:$F$1297,"&gt;=0")),"")</f>
        <v>0.7</v>
      </c>
      <c r="Q18" s="11" t="n">
        <f aca="false">COUNTIFS(Checks!$A$2:$A$1297,$C18,Checks!$C$2:$C$1297,"T",Checks!$F$2:$F$1297,"&gt;=0")</f>
        <v>5</v>
      </c>
      <c r="R18" s="10" t="n">
        <f aca="false">IFERROR(SUMIFS(Checks!$F$2:$F$1297,Checks!$A$2:$A$1297,$C18,Checks!$C$2:$C$1297,"N")/(2*COUNTIFS(Checks!$A$2:$A$1297,$C18,Checks!$C$2:$C$1297,"N",Checks!$F$2:$F$1297,"&gt;=0")),"")</f>
        <v>0.666666666666667</v>
      </c>
      <c r="S18" s="11" t="n">
        <f aca="false">COUNTIFS(Checks!$A$2:$A$1297,$C18,Checks!$C$2:$C$1297,"N",Checks!$F$2:$F$1297,"&gt;=0")</f>
        <v>3</v>
      </c>
      <c r="T18" s="6" t="n">
        <f aca="false">K18+M18+O18+Q18+S18</f>
        <v>21</v>
      </c>
      <c r="U18" s="12" t="n">
        <f aca="false">T18/29</f>
        <v>0.724137931034483</v>
      </c>
      <c r="V18" s="6" t="str">
        <f aca="false">IF(T18&gt;=26,"High",IF(T18&gt;=20,"Medium","Low"))</f>
        <v>Medium</v>
      </c>
      <c r="W18" s="13" t="n">
        <f aca="false">IF((IF(K18&gt;0,Rubric!$C$3,0)+IF(M18&gt;0,Rubric!$C$4,0)+IF(O18&gt;0,Rubric!$C$5,0)+IF(Q18&gt;0,Rubric!$C$6,0)+IF(S18&gt;0,Rubric!$C$7,0))=0,"",ROUND(100*(IF(K18&gt;0,Rubric!$C$3*J18,0)+IF(M18&gt;0,Rubric!$C$4*L18,0)+IF(O18&gt;0,Rubric!$C$5*N18,0)+IF(Q18&gt;0,Rubric!$C$6*P18,0)+IF(S18&gt;0,Rubric!$C$7*R18,0))/(IF(K18&gt;0,Rubric!$C$3,0)+IF(M18&gt;0,Rubric!$C$4,0)+IF(O18&gt;0,Rubric!$C$5,0)+IF(Q18&gt;0,Rubric!$C$6,0)+IF(S18&gt;0,Rubric!$C$7,0)),1))</f>
        <v>64.8</v>
      </c>
      <c r="X18" s="14" t="str">
        <f aca="false">IF(W18="","",IF(W18&gt;=Rubric!$C$11,"A",IF(W18&gt;=Rubric!$C$12,"B",IF(W18&gt;=Rubric!$C$13,"C",IF(W18&gt;=Rubric!$C$14,"D","F")))))</f>
        <v>C</v>
      </c>
      <c r="Y18" s="8" t="str">
        <f aca="false">IF(X18="","",IF(X18="A","Benchmark",IF(X18="B","Strong",IF(X18="C","Developing",IF(X18="D","Needs work","At risk")))))</f>
        <v>Developing</v>
      </c>
      <c r="Z18" s="8" t="str">
        <f aca="false">IF(COUNT(J18,L18,N18,P18,R18)=0,"",INDEX({"Findability","Catalog","Buy","Trust","Content"},MATCH(MIN(J18,L18,N18,P18,R18),CHOOSE({1,2,3,4,5},J18,L18,N18,P18,R18),0)))</f>
        <v>Findability</v>
      </c>
      <c r="AA18" s="8"/>
      <c r="AB18" s="15" t="s">
        <v>122</v>
      </c>
    </row>
    <row r="19" customFormat="false" ht="30" hidden="false" customHeight="true" outlineLevel="0" collapsed="false">
      <c r="A19" s="6" t="n">
        <f aca="false">IF(W19="","",RANK(W19,$W$2:$W$25,0))</f>
        <v>20</v>
      </c>
      <c r="B19" s="6" t="n">
        <f aca="false">IF(W19="","",1+COUNTIFS($D$2:$D$25,"Benchmark",$W$2:$W$25,"&gt;"&amp;W19))</f>
        <v>18</v>
      </c>
      <c r="C19" s="7" t="s">
        <v>123</v>
      </c>
      <c r="D19" s="6" t="s">
        <v>45</v>
      </c>
      <c r="E19" s="8" t="s">
        <v>59</v>
      </c>
      <c r="F19" s="8" t="s">
        <v>54</v>
      </c>
      <c r="G19" s="8" t="s">
        <v>78</v>
      </c>
      <c r="H19" s="9" t="s">
        <v>124</v>
      </c>
      <c r="I19" s="6" t="s">
        <v>50</v>
      </c>
      <c r="J19" s="10" t="n">
        <f aca="false">IFERROR(SUMIFS(Checks!$F$2:$F$1297,Checks!$A$2:$A$1297,$C19,Checks!$C$2:$C$1297,"F")/(2*COUNTIFS(Checks!$A$2:$A$1297,$C19,Checks!$C$2:$C$1297,"F",Checks!$F$2:$F$1297,"&gt;=0")),"")</f>
        <v>0.5</v>
      </c>
      <c r="K19" s="11" t="n">
        <f aca="false">COUNTIFS(Checks!$A$2:$A$1297,$C19,Checks!$C$2:$C$1297,"F",Checks!$F$2:$F$1297,"&gt;=0")</f>
        <v>7</v>
      </c>
      <c r="L19" s="10" t="n">
        <f aca="false">IFERROR(SUMIFS(Checks!$F$2:$F$1297,Checks!$A$2:$A$1297,$C19,Checks!$C$2:$C$1297,"C")/(2*COUNTIFS(Checks!$A$2:$A$1297,$C19,Checks!$C$2:$C$1297,"C",Checks!$F$2:$F$1297,"&gt;=0")),"")</f>
        <v>0.5625</v>
      </c>
      <c r="M19" s="11" t="n">
        <f aca="false">COUNTIFS(Checks!$A$2:$A$1297,$C19,Checks!$C$2:$C$1297,"C",Checks!$F$2:$F$1297,"&gt;=0")</f>
        <v>8</v>
      </c>
      <c r="N19" s="10" t="n">
        <f aca="false">IFERROR(SUMIFS(Checks!$F$2:$F$1297,Checks!$A$2:$A$1297,$C19,Checks!$C$2:$C$1297,"B")/(2*COUNTIFS(Checks!$A$2:$A$1297,$C19,Checks!$C$2:$C$1297,"B",Checks!$F$2:$F$1297,"&gt;=0")),"")</f>
        <v>0.75</v>
      </c>
      <c r="O19" s="11" t="n">
        <f aca="false">COUNTIFS(Checks!$A$2:$A$1297,$C19,Checks!$C$2:$C$1297,"B",Checks!$F$2:$F$1297,"&gt;=0")</f>
        <v>4</v>
      </c>
      <c r="P19" s="10" t="n">
        <f aca="false">IFERROR(SUMIFS(Checks!$F$2:$F$1297,Checks!$A$2:$A$1297,$C19,Checks!$C$2:$C$1297,"T")/(2*COUNTIFS(Checks!$A$2:$A$1297,$C19,Checks!$C$2:$C$1297,"T",Checks!$F$2:$F$1297,"&gt;=0")),"")</f>
        <v>0.8</v>
      </c>
      <c r="Q19" s="11" t="n">
        <f aca="false">COUNTIFS(Checks!$A$2:$A$1297,$C19,Checks!$C$2:$C$1297,"T",Checks!$F$2:$F$1297,"&gt;=0")</f>
        <v>5</v>
      </c>
      <c r="R19" s="10" t="n">
        <f aca="false">IFERROR(SUMIFS(Checks!$F$2:$F$1297,Checks!$A$2:$A$1297,$C19,Checks!$C$2:$C$1297,"N")/(2*COUNTIFS(Checks!$A$2:$A$1297,$C19,Checks!$C$2:$C$1297,"N",Checks!$F$2:$F$1297,"&gt;=0")),"")</f>
        <v>0.666666666666667</v>
      </c>
      <c r="S19" s="11" t="n">
        <f aca="false">COUNTIFS(Checks!$A$2:$A$1297,$C19,Checks!$C$2:$C$1297,"N",Checks!$F$2:$F$1297,"&gt;=0")</f>
        <v>3</v>
      </c>
      <c r="T19" s="6" t="n">
        <f aca="false">K19+M19+O19+Q19+S19</f>
        <v>27</v>
      </c>
      <c r="U19" s="12" t="n">
        <f aca="false">T19/29</f>
        <v>0.931034482758621</v>
      </c>
      <c r="V19" s="6" t="str">
        <f aca="false">IF(T19&gt;=26,"High",IF(T19&gt;=20,"Medium","Low"))</f>
        <v>High</v>
      </c>
      <c r="W19" s="13" t="n">
        <f aca="false">IF((IF(K19&gt;0,Rubric!$C$3,0)+IF(M19&gt;0,Rubric!$C$4,0)+IF(O19&gt;0,Rubric!$C$5,0)+IF(Q19&gt;0,Rubric!$C$6,0)+IF(S19&gt;0,Rubric!$C$7,0))=0,"",ROUND(100*(IF(K19&gt;0,Rubric!$C$3*J19,0)+IF(M19&gt;0,Rubric!$C$4*L19,0)+IF(O19&gt;0,Rubric!$C$5*N19,0)+IF(Q19&gt;0,Rubric!$C$6*P19,0)+IF(S19&gt;0,Rubric!$C$7*R19,0))/(IF(K19&gt;0,Rubric!$C$3,0)+IF(M19&gt;0,Rubric!$C$4,0)+IF(O19&gt;0,Rubric!$C$5,0)+IF(Q19&gt;0,Rubric!$C$6,0)+IF(S19&gt;0,Rubric!$C$7,0)),1))</f>
        <v>63</v>
      </c>
      <c r="X19" s="14" t="str">
        <f aca="false">IF(W19="","",IF(W19&gt;=Rubric!$C$11,"A",IF(W19&gt;=Rubric!$C$12,"B",IF(W19&gt;=Rubric!$C$13,"C",IF(W19&gt;=Rubric!$C$14,"D","F")))))</f>
        <v>C</v>
      </c>
      <c r="Y19" s="8" t="str">
        <f aca="false">IF(X19="","",IF(X19="A","Benchmark",IF(X19="B","Strong",IF(X19="C","Developing",IF(X19="D","Needs work","At risk")))))</f>
        <v>Developing</v>
      </c>
      <c r="Z19" s="8" t="str">
        <f aca="false">IF(COUNT(J19,L19,N19,P19,R19)=0,"",INDEX({"Findability","Catalog","Buy","Trust","Content"},MATCH(MIN(J19,L19,N19,P19,R19),CHOOSE({1,2,3,4,5},J19,L19,N19,P19,R19),0)))</f>
        <v>Findability</v>
      </c>
      <c r="AA19" s="8"/>
      <c r="AB19" s="15" t="s">
        <v>125</v>
      </c>
    </row>
    <row r="20" customFormat="false" ht="30" hidden="false" customHeight="true" outlineLevel="0" collapsed="false">
      <c r="A20" s="6" t="n">
        <f aca="false">IF(W20="","",RANK(W20,$W$2:$W$25,0))</f>
        <v>22</v>
      </c>
      <c r="B20" s="6" t="n">
        <f aca="false">IF(W20="","",1+COUNTIFS($D$2:$D$25,"Benchmark",$W$2:$W$25,"&gt;"&amp;W20))</f>
        <v>19</v>
      </c>
      <c r="C20" s="7" t="s">
        <v>126</v>
      </c>
      <c r="D20" s="6" t="s">
        <v>45</v>
      </c>
      <c r="E20" s="8" t="s">
        <v>59</v>
      </c>
      <c r="F20" s="8" t="s">
        <v>108</v>
      </c>
      <c r="G20" s="8" t="s">
        <v>78</v>
      </c>
      <c r="H20" s="9" t="s">
        <v>127</v>
      </c>
      <c r="I20" s="6" t="s">
        <v>50</v>
      </c>
      <c r="J20" s="10" t="n">
        <f aca="false">IFERROR(SUMIFS(Checks!$F$2:$F$1297,Checks!$A$2:$A$1297,$C20,Checks!$C$2:$C$1297,"F")/(2*COUNTIFS(Checks!$A$2:$A$1297,$C20,Checks!$C$2:$C$1297,"F",Checks!$F$2:$F$1297,"&gt;=0")),"")</f>
        <v>0.642857142857143</v>
      </c>
      <c r="K20" s="11" t="n">
        <f aca="false">COUNTIFS(Checks!$A$2:$A$1297,$C20,Checks!$C$2:$C$1297,"F",Checks!$F$2:$F$1297,"&gt;=0")</f>
        <v>7</v>
      </c>
      <c r="L20" s="10" t="n">
        <f aca="false">IFERROR(SUMIFS(Checks!$F$2:$F$1297,Checks!$A$2:$A$1297,$C20,Checks!$C$2:$C$1297,"C")/(2*COUNTIFS(Checks!$A$2:$A$1297,$C20,Checks!$C$2:$C$1297,"C",Checks!$F$2:$F$1297,"&gt;=0")),"")</f>
        <v>0.5</v>
      </c>
      <c r="M20" s="11" t="n">
        <f aca="false">COUNTIFS(Checks!$A$2:$A$1297,$C20,Checks!$C$2:$C$1297,"C",Checks!$F$2:$F$1297,"&gt;=0")</f>
        <v>8</v>
      </c>
      <c r="N20" s="10" t="n">
        <f aca="false">IFERROR(SUMIFS(Checks!$F$2:$F$1297,Checks!$A$2:$A$1297,$C20,Checks!$C$2:$C$1297,"B")/(2*COUNTIFS(Checks!$A$2:$A$1297,$C20,Checks!$C$2:$C$1297,"B",Checks!$F$2:$F$1297,"&gt;=0")),"")</f>
        <v>0.5</v>
      </c>
      <c r="O20" s="11" t="n">
        <f aca="false">COUNTIFS(Checks!$A$2:$A$1297,$C20,Checks!$C$2:$C$1297,"B",Checks!$F$2:$F$1297,"&gt;=0")</f>
        <v>4</v>
      </c>
      <c r="P20" s="10" t="n">
        <f aca="false">IFERROR(SUMIFS(Checks!$F$2:$F$1297,Checks!$A$2:$A$1297,$C20,Checks!$C$2:$C$1297,"T")/(2*COUNTIFS(Checks!$A$2:$A$1297,$C20,Checks!$C$2:$C$1297,"T",Checks!$F$2:$F$1297,"&gt;=0")),"")</f>
        <v>0.8</v>
      </c>
      <c r="Q20" s="11" t="n">
        <f aca="false">COUNTIFS(Checks!$A$2:$A$1297,$C20,Checks!$C$2:$C$1297,"T",Checks!$F$2:$F$1297,"&gt;=0")</f>
        <v>5</v>
      </c>
      <c r="R20" s="10" t="n">
        <f aca="false">IFERROR(SUMIFS(Checks!$F$2:$F$1297,Checks!$A$2:$A$1297,$C20,Checks!$C$2:$C$1297,"N")/(2*COUNTIFS(Checks!$A$2:$A$1297,$C20,Checks!$C$2:$C$1297,"N",Checks!$F$2:$F$1297,"&gt;=0")),"")</f>
        <v>0.333333333333333</v>
      </c>
      <c r="S20" s="11" t="n">
        <f aca="false">COUNTIFS(Checks!$A$2:$A$1297,$C20,Checks!$C$2:$C$1297,"N",Checks!$F$2:$F$1297,"&gt;=0")</f>
        <v>3</v>
      </c>
      <c r="T20" s="6" t="n">
        <f aca="false">K20+M20+O20+Q20+S20</f>
        <v>27</v>
      </c>
      <c r="U20" s="12" t="n">
        <f aca="false">T20/29</f>
        <v>0.931034482758621</v>
      </c>
      <c r="V20" s="6" t="str">
        <f aca="false">IF(T20&gt;=26,"High",IF(T20&gt;=20,"Medium","Low"))</f>
        <v>High</v>
      </c>
      <c r="W20" s="13" t="n">
        <f aca="false">IF((IF(K20&gt;0,Rubric!$C$3,0)+IF(M20&gt;0,Rubric!$C$4,0)+IF(O20&gt;0,Rubric!$C$5,0)+IF(Q20&gt;0,Rubric!$C$6,0)+IF(S20&gt;0,Rubric!$C$7,0))=0,"",ROUND(100*(IF(K20&gt;0,Rubric!$C$3*J20,0)+IF(M20&gt;0,Rubric!$C$4*L20,0)+IF(O20&gt;0,Rubric!$C$5*N20,0)+IF(Q20&gt;0,Rubric!$C$6*P20,0)+IF(S20&gt;0,Rubric!$C$7*R20,0))/(IF(K20&gt;0,Rubric!$C$3,0)+IF(M20&gt;0,Rubric!$C$4,0)+IF(O20&gt;0,Rubric!$C$5,0)+IF(Q20&gt;0,Rubric!$C$6,0)+IF(S20&gt;0,Rubric!$C$7,0)),1))</f>
        <v>56.4</v>
      </c>
      <c r="X20" s="14" t="str">
        <f aca="false">IF(W20="","",IF(W20&gt;=Rubric!$C$11,"A",IF(W20&gt;=Rubric!$C$12,"B",IF(W20&gt;=Rubric!$C$13,"C",IF(W20&gt;=Rubric!$C$14,"D","F")))))</f>
        <v>C</v>
      </c>
      <c r="Y20" s="8" t="str">
        <f aca="false">IF(X20="","",IF(X20="A","Benchmark",IF(X20="B","Strong",IF(X20="C","Developing",IF(X20="D","Needs work","At risk")))))</f>
        <v>Developing</v>
      </c>
      <c r="Z20" s="8" t="str">
        <f aca="false">IF(COUNT(J20,L20,N20,P20,R20)=0,"",INDEX({"Findability","Catalog","Buy","Trust","Content"},MATCH(MIN(J20,L20,N20,P20,R20),CHOOSE({1,2,3,4,5},J20,L20,N20,P20,R20),0)))</f>
        <v>Content</v>
      </c>
      <c r="AA20" s="8"/>
      <c r="AB20" s="15" t="s">
        <v>128</v>
      </c>
    </row>
    <row r="21" customFormat="false" ht="30" hidden="false" customHeight="true" outlineLevel="0" collapsed="false">
      <c r="A21" s="6" t="n">
        <f aca="false">IF(W21="","",RANK(W21,$W$2:$W$25,0))</f>
        <v>23</v>
      </c>
      <c r="B21" s="6" t="n">
        <f aca="false">IF(W21="","",1+COUNTIFS($D$2:$D$25,"Benchmark",$W$2:$W$25,"&gt;"&amp;W21))</f>
        <v>20</v>
      </c>
      <c r="C21" s="7" t="s">
        <v>129</v>
      </c>
      <c r="D21" s="6" t="s">
        <v>45</v>
      </c>
      <c r="E21" s="8" t="s">
        <v>90</v>
      </c>
      <c r="F21" s="8" t="s">
        <v>54</v>
      </c>
      <c r="G21" s="8" t="s">
        <v>78</v>
      </c>
      <c r="H21" s="9" t="s">
        <v>130</v>
      </c>
      <c r="I21" s="6" t="s">
        <v>50</v>
      </c>
      <c r="J21" s="10" t="n">
        <f aca="false">IFERROR(SUMIFS(Checks!$F$2:$F$1297,Checks!$A$2:$A$1297,$C21,Checks!$C$2:$C$1297,"F")/(2*COUNTIFS(Checks!$A$2:$A$1297,$C21,Checks!$C$2:$C$1297,"F",Checks!$F$2:$F$1297,"&gt;=0")),"")</f>
        <v>0.785714285714286</v>
      </c>
      <c r="K21" s="11" t="n">
        <f aca="false">COUNTIFS(Checks!$A$2:$A$1297,$C21,Checks!$C$2:$C$1297,"F",Checks!$F$2:$F$1297,"&gt;=0")</f>
        <v>7</v>
      </c>
      <c r="L21" s="10" t="n">
        <f aca="false">IFERROR(SUMIFS(Checks!$F$2:$F$1297,Checks!$A$2:$A$1297,$C21,Checks!$C$2:$C$1297,"C")/(2*COUNTIFS(Checks!$A$2:$A$1297,$C21,Checks!$C$2:$C$1297,"C",Checks!$F$2:$F$1297,"&gt;=0")),"")</f>
        <v>0.125</v>
      </c>
      <c r="M21" s="11" t="n">
        <f aca="false">COUNTIFS(Checks!$A$2:$A$1297,$C21,Checks!$C$2:$C$1297,"C",Checks!$F$2:$F$1297,"&gt;=0")</f>
        <v>8</v>
      </c>
      <c r="N21" s="10" t="n">
        <f aca="false">IFERROR(SUMIFS(Checks!$F$2:$F$1297,Checks!$A$2:$A$1297,$C21,Checks!$C$2:$C$1297,"B")/(2*COUNTIFS(Checks!$A$2:$A$1297,$C21,Checks!$C$2:$C$1297,"B",Checks!$F$2:$F$1297,"&gt;=0")),"")</f>
        <v>0.7</v>
      </c>
      <c r="O21" s="11" t="n">
        <f aca="false">COUNTIFS(Checks!$A$2:$A$1297,$C21,Checks!$C$2:$C$1297,"B",Checks!$F$2:$F$1297,"&gt;=0")</f>
        <v>5</v>
      </c>
      <c r="P21" s="10" t="n">
        <f aca="false">IFERROR(SUMIFS(Checks!$F$2:$F$1297,Checks!$A$2:$A$1297,$C21,Checks!$C$2:$C$1297,"T")/(2*COUNTIFS(Checks!$A$2:$A$1297,$C21,Checks!$C$2:$C$1297,"T",Checks!$F$2:$F$1297,"&gt;=0")),"")</f>
        <v>0.8</v>
      </c>
      <c r="Q21" s="11" t="n">
        <f aca="false">COUNTIFS(Checks!$A$2:$A$1297,$C21,Checks!$C$2:$C$1297,"T",Checks!$F$2:$F$1297,"&gt;=0")</f>
        <v>5</v>
      </c>
      <c r="R21" s="10" t="n">
        <f aca="false">IFERROR(SUMIFS(Checks!$F$2:$F$1297,Checks!$A$2:$A$1297,$C21,Checks!$C$2:$C$1297,"N")/(2*COUNTIFS(Checks!$A$2:$A$1297,$C21,Checks!$C$2:$C$1297,"N",Checks!$F$2:$F$1297,"&gt;=0")),"")</f>
        <v>0.5</v>
      </c>
      <c r="S21" s="11" t="n">
        <f aca="false">COUNTIFS(Checks!$A$2:$A$1297,$C21,Checks!$C$2:$C$1297,"N",Checks!$F$2:$F$1297,"&gt;=0")</f>
        <v>3</v>
      </c>
      <c r="T21" s="6" t="n">
        <f aca="false">K21+M21+O21+Q21+S21</f>
        <v>28</v>
      </c>
      <c r="U21" s="12" t="n">
        <f aca="false">T21/29</f>
        <v>0.96551724137931</v>
      </c>
      <c r="V21" s="6" t="str">
        <f aca="false">IF(T21&gt;=26,"High",IF(T21&gt;=20,"Medium","Low"))</f>
        <v>High</v>
      </c>
      <c r="W21" s="13" t="n">
        <f aca="false">IF((IF(K21&gt;0,Rubric!$C$3,0)+IF(M21&gt;0,Rubric!$C$4,0)+IF(O21&gt;0,Rubric!$C$5,0)+IF(Q21&gt;0,Rubric!$C$6,0)+IF(S21&gt;0,Rubric!$C$7,0))=0,"",ROUND(100*(IF(K21&gt;0,Rubric!$C$3*J21,0)+IF(M21&gt;0,Rubric!$C$4*L21,0)+IF(O21&gt;0,Rubric!$C$5*N21,0)+IF(Q21&gt;0,Rubric!$C$6*P21,0)+IF(S21&gt;0,Rubric!$C$7*R21,0))/(IF(K21&gt;0,Rubric!$C$3,0)+IF(M21&gt;0,Rubric!$C$4,0)+IF(O21&gt;0,Rubric!$C$5,0)+IF(Q21&gt;0,Rubric!$C$6,0)+IF(S21&gt;0,Rubric!$C$7,0)),1))</f>
        <v>54.4</v>
      </c>
      <c r="X21" s="14" t="str">
        <f aca="false">IF(W21="","",IF(W21&gt;=Rubric!$C$11,"A",IF(W21&gt;=Rubric!$C$12,"B",IF(W21&gt;=Rubric!$C$13,"C",IF(W21&gt;=Rubric!$C$14,"D","F")))))</f>
        <v>D</v>
      </c>
      <c r="Y21" s="8" t="str">
        <f aca="false">IF(X21="","",IF(X21="A","Benchmark",IF(X21="B","Strong",IF(X21="C","Developing",IF(X21="D","Needs work","At risk")))))</f>
        <v>Needs work</v>
      </c>
      <c r="Z21" s="8" t="str">
        <f aca="false">IF(COUNT(J21,L21,N21,P21,R21)=0,"",INDEX({"Findability","Catalog","Buy","Trust","Content"},MATCH(MIN(J21,L21,N21,P21,R21),CHOOSE({1,2,3,4,5},J21,L21,N21,P21,R21),0)))</f>
        <v>Catalog</v>
      </c>
      <c r="AA21" s="8"/>
      <c r="AB21" s="15" t="s">
        <v>131</v>
      </c>
    </row>
    <row r="22" customFormat="false" ht="30" hidden="false" customHeight="true" outlineLevel="0" collapsed="false">
      <c r="A22" s="6" t="n">
        <f aca="false">IF(W22="","",RANK(W22,$W$2:$W$25,0))</f>
        <v>24</v>
      </c>
      <c r="B22" s="6" t="n">
        <f aca="false">IF(W22="","",1+COUNTIFS($D$2:$D$25,"Benchmark",$W$2:$W$25,"&gt;"&amp;W22))</f>
        <v>21</v>
      </c>
      <c r="C22" s="7" t="s">
        <v>132</v>
      </c>
      <c r="D22" s="6" t="s">
        <v>45</v>
      </c>
      <c r="E22" s="8" t="s">
        <v>90</v>
      </c>
      <c r="F22" s="8" t="s">
        <v>54</v>
      </c>
      <c r="G22" s="8" t="s">
        <v>78</v>
      </c>
      <c r="H22" s="9" t="s">
        <v>133</v>
      </c>
      <c r="I22" s="6" t="s">
        <v>50</v>
      </c>
      <c r="J22" s="10" t="n">
        <f aca="false">IFERROR(SUMIFS(Checks!$F$2:$F$1297,Checks!$A$2:$A$1297,$C22,Checks!$C$2:$C$1297,"F")/(2*COUNTIFS(Checks!$A$2:$A$1297,$C22,Checks!$C$2:$C$1297,"F",Checks!$F$2:$F$1297,"&gt;=0")),"")</f>
        <v>0.642857142857143</v>
      </c>
      <c r="K22" s="11" t="n">
        <f aca="false">COUNTIFS(Checks!$A$2:$A$1297,$C22,Checks!$C$2:$C$1297,"F",Checks!$F$2:$F$1297,"&gt;=0")</f>
        <v>7</v>
      </c>
      <c r="L22" s="10" t="n">
        <f aca="false">IFERROR(SUMIFS(Checks!$F$2:$F$1297,Checks!$A$2:$A$1297,$C22,Checks!$C$2:$C$1297,"C")/(2*COUNTIFS(Checks!$A$2:$A$1297,$C22,Checks!$C$2:$C$1297,"C",Checks!$F$2:$F$1297,"&gt;=0")),"")</f>
        <v>0.0625</v>
      </c>
      <c r="M22" s="11" t="n">
        <f aca="false">COUNTIFS(Checks!$A$2:$A$1297,$C22,Checks!$C$2:$C$1297,"C",Checks!$F$2:$F$1297,"&gt;=0")</f>
        <v>8</v>
      </c>
      <c r="N22" s="10" t="n">
        <f aca="false">IFERROR(SUMIFS(Checks!$F$2:$F$1297,Checks!$A$2:$A$1297,$C22,Checks!$C$2:$C$1297,"B")/(2*COUNTIFS(Checks!$A$2:$A$1297,$C22,Checks!$C$2:$C$1297,"B",Checks!$F$2:$F$1297,"&gt;=0")),"")</f>
        <v>0.3</v>
      </c>
      <c r="O22" s="11" t="n">
        <f aca="false">COUNTIFS(Checks!$A$2:$A$1297,$C22,Checks!$C$2:$C$1297,"B",Checks!$F$2:$F$1297,"&gt;=0")</f>
        <v>5</v>
      </c>
      <c r="P22" s="10" t="n">
        <f aca="false">IFERROR(SUMIFS(Checks!$F$2:$F$1297,Checks!$A$2:$A$1297,$C22,Checks!$C$2:$C$1297,"T")/(2*COUNTIFS(Checks!$A$2:$A$1297,$C22,Checks!$C$2:$C$1297,"T",Checks!$F$2:$F$1297,"&gt;=0")),"")</f>
        <v>0.5</v>
      </c>
      <c r="Q22" s="11" t="n">
        <f aca="false">COUNTIFS(Checks!$A$2:$A$1297,$C22,Checks!$C$2:$C$1297,"T",Checks!$F$2:$F$1297,"&gt;=0")</f>
        <v>5</v>
      </c>
      <c r="R22" s="10" t="n">
        <f aca="false">IFERROR(SUMIFS(Checks!$F$2:$F$1297,Checks!$A$2:$A$1297,$C22,Checks!$C$2:$C$1297,"N")/(2*COUNTIFS(Checks!$A$2:$A$1297,$C22,Checks!$C$2:$C$1297,"N",Checks!$F$2:$F$1297,"&gt;=0")),"")</f>
        <v>0.166666666666667</v>
      </c>
      <c r="S22" s="11" t="n">
        <f aca="false">COUNTIFS(Checks!$A$2:$A$1297,$C22,Checks!$C$2:$C$1297,"N",Checks!$F$2:$F$1297,"&gt;=0")</f>
        <v>3</v>
      </c>
      <c r="T22" s="6" t="n">
        <f aca="false">K22+M22+O22+Q22+S22</f>
        <v>28</v>
      </c>
      <c r="U22" s="12" t="n">
        <f aca="false">T22/29</f>
        <v>0.96551724137931</v>
      </c>
      <c r="V22" s="6" t="str">
        <f aca="false">IF(T22&gt;=26,"High",IF(T22&gt;=20,"Medium","Low"))</f>
        <v>High</v>
      </c>
      <c r="W22" s="13" t="n">
        <f aca="false">IF((IF(K22&gt;0,Rubric!$C$3,0)+IF(M22&gt;0,Rubric!$C$4,0)+IF(O22&gt;0,Rubric!$C$5,0)+IF(Q22&gt;0,Rubric!$C$6,0)+IF(S22&gt;0,Rubric!$C$7,0))=0,"",ROUND(100*(IF(K22&gt;0,Rubric!$C$3*J22,0)+IF(M22&gt;0,Rubric!$C$4*L22,0)+IF(O22&gt;0,Rubric!$C$5*N22,0)+IF(Q22&gt;0,Rubric!$C$6*P22,0)+IF(S22&gt;0,Rubric!$C$7*R22,0))/(IF(K22&gt;0,Rubric!$C$3,0)+IF(M22&gt;0,Rubric!$C$4,0)+IF(O22&gt;0,Rubric!$C$5,0)+IF(Q22&gt;0,Rubric!$C$6,0)+IF(S22&gt;0,Rubric!$C$7,0)),1))</f>
        <v>33.1</v>
      </c>
      <c r="X22" s="14" t="str">
        <f aca="false">IF(W22="","",IF(W22&gt;=Rubric!$C$11,"A",IF(W22&gt;=Rubric!$C$12,"B",IF(W22&gt;=Rubric!$C$13,"C",IF(W22&gt;=Rubric!$C$14,"D","F")))))</f>
        <v>F</v>
      </c>
      <c r="Y22" s="8" t="str">
        <f aca="false">IF(X22="","",IF(X22="A","Benchmark",IF(X22="B","Strong",IF(X22="C","Developing",IF(X22="D","Needs work","At risk")))))</f>
        <v>At risk</v>
      </c>
      <c r="Z22" s="8" t="str">
        <f aca="false">IF(COUNT(J22,L22,N22,P22,R22)=0,"",INDEX({"Findability","Catalog","Buy","Trust","Content"},MATCH(MIN(J22,L22,N22,P22,R22),CHOOSE({1,2,3,4,5},J22,L22,N22,P22,R22),0)))</f>
        <v>Catalog</v>
      </c>
      <c r="AA22" s="8"/>
      <c r="AB22" s="15" t="s">
        <v>134</v>
      </c>
    </row>
    <row r="23" customFormat="false" ht="30" hidden="false" customHeight="true" outlineLevel="0" collapsed="false">
      <c r="A23" s="16" t="n">
        <f aca="false">IF(W23="","",RANK(W23,$W$2:$W$25,0))</f>
        <v>1</v>
      </c>
      <c r="B23" s="16" t="n">
        <f aca="false">IF(W23="","",1+COUNTIFS($D$2:$D$25,"Benchmark",$W$2:$W$25,"&gt;"&amp;W23))</f>
        <v>1</v>
      </c>
      <c r="C23" s="17" t="s">
        <v>135</v>
      </c>
      <c r="D23" s="16" t="s">
        <v>136</v>
      </c>
      <c r="E23" s="18" t="s">
        <v>137</v>
      </c>
      <c r="F23" s="18" t="s">
        <v>60</v>
      </c>
      <c r="G23" s="18" t="s">
        <v>138</v>
      </c>
      <c r="H23" s="19" t="s">
        <v>139</v>
      </c>
      <c r="I23" s="16" t="s">
        <v>50</v>
      </c>
      <c r="J23" s="20" t="n">
        <f aca="false">IFERROR(SUMIFS(Checks!$F$2:$F$1297,Checks!$A$2:$A$1297,$C23,Checks!$C$2:$C$1297,"F")/(2*COUNTIFS(Checks!$A$2:$A$1297,$C23,Checks!$C$2:$C$1297,"F",Checks!$F$2:$F$1297,"&gt;=0")),"")</f>
        <v>1</v>
      </c>
      <c r="K23" s="21" t="n">
        <f aca="false">COUNTIFS(Checks!$A$2:$A$1297,$C23,Checks!$C$2:$C$1297,"F",Checks!$F$2:$F$1297,"&gt;=0")</f>
        <v>8</v>
      </c>
      <c r="L23" s="20" t="n">
        <f aca="false">IFERROR(SUMIFS(Checks!$F$2:$F$1297,Checks!$A$2:$A$1297,$C23,Checks!$C$2:$C$1297,"C")/(2*COUNTIFS(Checks!$A$2:$A$1297,$C23,Checks!$C$2:$C$1297,"C",Checks!$F$2:$F$1297,"&gt;=0")),"")</f>
        <v>1</v>
      </c>
      <c r="M23" s="21" t="n">
        <f aca="false">COUNTIFS(Checks!$A$2:$A$1297,$C23,Checks!$C$2:$C$1297,"C",Checks!$F$2:$F$1297,"&gt;=0")</f>
        <v>8</v>
      </c>
      <c r="N23" s="20" t="n">
        <f aca="false">IFERROR(SUMIFS(Checks!$F$2:$F$1297,Checks!$A$2:$A$1297,$C23,Checks!$C$2:$C$1297,"B")/(2*COUNTIFS(Checks!$A$2:$A$1297,$C23,Checks!$C$2:$C$1297,"B",Checks!$F$2:$F$1297,"&gt;=0")),"")</f>
        <v>1</v>
      </c>
      <c r="O23" s="21" t="n">
        <f aca="false">COUNTIFS(Checks!$A$2:$A$1297,$C23,Checks!$C$2:$C$1297,"B",Checks!$F$2:$F$1297,"&gt;=0")</f>
        <v>5</v>
      </c>
      <c r="P23" s="20" t="n">
        <f aca="false">IFERROR(SUMIFS(Checks!$F$2:$F$1297,Checks!$A$2:$A$1297,$C23,Checks!$C$2:$C$1297,"T")/(2*COUNTIFS(Checks!$A$2:$A$1297,$C23,Checks!$C$2:$C$1297,"T",Checks!$F$2:$F$1297,"&gt;=0")),"")</f>
        <v>0.9</v>
      </c>
      <c r="Q23" s="21" t="n">
        <f aca="false">COUNTIFS(Checks!$A$2:$A$1297,$C23,Checks!$C$2:$C$1297,"T",Checks!$F$2:$F$1297,"&gt;=0")</f>
        <v>5</v>
      </c>
      <c r="R23" s="20" t="n">
        <f aca="false">IFERROR(SUMIFS(Checks!$F$2:$F$1297,Checks!$A$2:$A$1297,$C23,Checks!$C$2:$C$1297,"N")/(2*COUNTIFS(Checks!$A$2:$A$1297,$C23,Checks!$C$2:$C$1297,"N",Checks!$F$2:$F$1297,"&gt;=0")),"")</f>
        <v>0.666666666666667</v>
      </c>
      <c r="S23" s="21" t="n">
        <f aca="false">COUNTIFS(Checks!$A$2:$A$1297,$C23,Checks!$C$2:$C$1297,"N",Checks!$F$2:$F$1297,"&gt;=0")</f>
        <v>3</v>
      </c>
      <c r="T23" s="16" t="n">
        <f aca="false">K23+M23+O23+Q23+S23</f>
        <v>29</v>
      </c>
      <c r="U23" s="22" t="n">
        <f aca="false">T23/29</f>
        <v>1</v>
      </c>
      <c r="V23" s="16" t="str">
        <f aca="false">IF(T23&gt;=26,"High",IF(T23&gt;=20,"Medium","Low"))</f>
        <v>High</v>
      </c>
      <c r="W23" s="23" t="n">
        <f aca="false">IF((IF(K23&gt;0,Rubric!$C$3,0)+IF(M23&gt;0,Rubric!$C$4,0)+IF(O23&gt;0,Rubric!$C$5,0)+IF(Q23&gt;0,Rubric!$C$6,0)+IF(S23&gt;0,Rubric!$C$7,0))=0,"",ROUND(100*(IF(K23&gt;0,Rubric!$C$3*J23,0)+IF(M23&gt;0,Rubric!$C$4*L23,0)+IF(O23&gt;0,Rubric!$C$5*N23,0)+IF(Q23&gt;0,Rubric!$C$6*P23,0)+IF(S23&gt;0,Rubric!$C$7*R23,0))/(IF(K23&gt;0,Rubric!$C$3,0)+IF(M23&gt;0,Rubric!$C$4,0)+IF(O23&gt;0,Rubric!$C$5,0)+IF(Q23&gt;0,Rubric!$C$6,0)+IF(S23&gt;0,Rubric!$C$7,0)),1))</f>
        <v>95.2</v>
      </c>
      <c r="X23" s="24" t="str">
        <f aca="false">IF(W23="","",IF(W23&gt;=Rubric!$C$11,"A",IF(W23&gt;=Rubric!$C$12,"B",IF(W23&gt;=Rubric!$C$13,"C",IF(W23&gt;=Rubric!$C$14,"D","F")))))</f>
        <v>A</v>
      </c>
      <c r="Y23" s="18" t="str">
        <f aca="false">IF(X23="","",IF(X23="A","Benchmark",IF(X23="B","Strong",IF(X23="C","Developing",IF(X23="D","Needs work","At risk")))))</f>
        <v>Benchmark</v>
      </c>
      <c r="Z23" s="18" t="str">
        <f aca="false">IF(COUNT(J23,L23,N23,P23,R23)=0,"",INDEX({"Findability","Catalog","Buy","Trust","Content"},MATCH(MIN(J23,L23,N23,P23,R23),CHOOSE({1,2,3,4,5},J23,L23,N23,P23,R23),0)))</f>
        <v>Content</v>
      </c>
      <c r="AA23" s="19" t="s">
        <v>140</v>
      </c>
      <c r="AB23" s="25" t="s">
        <v>141</v>
      </c>
    </row>
    <row r="24" customFormat="false" ht="30" hidden="false" customHeight="true" outlineLevel="0" collapsed="false">
      <c r="A24" s="16" t="n">
        <f aca="false">IF(W24="","",RANK(W24,$W$2:$W$25,0))</f>
        <v>21</v>
      </c>
      <c r="B24" s="16" t="n">
        <f aca="false">IF(W24="","",1+COUNTIFS($D$2:$D$25,"Benchmark",$W$2:$W$25,"&gt;"&amp;W24))</f>
        <v>19</v>
      </c>
      <c r="C24" s="17" t="s">
        <v>142</v>
      </c>
      <c r="D24" s="16" t="s">
        <v>136</v>
      </c>
      <c r="E24" s="18" t="s">
        <v>143</v>
      </c>
      <c r="F24" s="18" t="s">
        <v>108</v>
      </c>
      <c r="G24" s="18" t="s">
        <v>144</v>
      </c>
      <c r="H24" s="19" t="s">
        <v>145</v>
      </c>
      <c r="I24" s="16" t="s">
        <v>50</v>
      </c>
      <c r="J24" s="20" t="n">
        <f aca="false">IFERROR(SUMIFS(Checks!$F$2:$F$1297,Checks!$A$2:$A$1297,$C24,Checks!$C$2:$C$1297,"F")/(2*COUNTIFS(Checks!$A$2:$A$1297,$C24,Checks!$C$2:$C$1297,"F",Checks!$F$2:$F$1297,"&gt;=0")),"")</f>
        <v>0.75</v>
      </c>
      <c r="K24" s="21" t="n">
        <f aca="false">COUNTIFS(Checks!$A$2:$A$1297,$C24,Checks!$C$2:$C$1297,"F",Checks!$F$2:$F$1297,"&gt;=0")</f>
        <v>8</v>
      </c>
      <c r="L24" s="20" t="n">
        <f aca="false">IFERROR(SUMIFS(Checks!$F$2:$F$1297,Checks!$A$2:$A$1297,$C24,Checks!$C$2:$C$1297,"C")/(2*COUNTIFS(Checks!$A$2:$A$1297,$C24,Checks!$C$2:$C$1297,"C",Checks!$F$2:$F$1297,"&gt;=0")),"")</f>
        <v>0.625</v>
      </c>
      <c r="M24" s="21" t="n">
        <f aca="false">COUNTIFS(Checks!$A$2:$A$1297,$C24,Checks!$C$2:$C$1297,"C",Checks!$F$2:$F$1297,"&gt;=0")</f>
        <v>8</v>
      </c>
      <c r="N24" s="20" t="n">
        <f aca="false">IFERROR(SUMIFS(Checks!$F$2:$F$1297,Checks!$A$2:$A$1297,$C24,Checks!$C$2:$C$1297,"B")/(2*COUNTIFS(Checks!$A$2:$A$1297,$C24,Checks!$C$2:$C$1297,"B",Checks!$F$2:$F$1297,"&gt;=0")),"")</f>
        <v>0.4</v>
      </c>
      <c r="O24" s="21" t="n">
        <f aca="false">COUNTIFS(Checks!$A$2:$A$1297,$C24,Checks!$C$2:$C$1297,"B",Checks!$F$2:$F$1297,"&gt;=0")</f>
        <v>5</v>
      </c>
      <c r="P24" s="20" t="n">
        <f aca="false">IFERROR(SUMIFS(Checks!$F$2:$F$1297,Checks!$A$2:$A$1297,$C24,Checks!$C$2:$C$1297,"T")/(2*COUNTIFS(Checks!$A$2:$A$1297,$C24,Checks!$C$2:$C$1297,"T",Checks!$F$2:$F$1297,"&gt;=0")),"")</f>
        <v>0.7</v>
      </c>
      <c r="Q24" s="21" t="n">
        <f aca="false">COUNTIFS(Checks!$A$2:$A$1297,$C24,Checks!$C$2:$C$1297,"T",Checks!$F$2:$F$1297,"&gt;=0")</f>
        <v>5</v>
      </c>
      <c r="R24" s="20" t="n">
        <f aca="false">IFERROR(SUMIFS(Checks!$F$2:$F$1297,Checks!$A$2:$A$1297,$C24,Checks!$C$2:$C$1297,"N")/(2*COUNTIFS(Checks!$A$2:$A$1297,$C24,Checks!$C$2:$C$1297,"N",Checks!$F$2:$F$1297,"&gt;=0")),"")</f>
        <v>0.5</v>
      </c>
      <c r="S24" s="21" t="n">
        <f aca="false">COUNTIFS(Checks!$A$2:$A$1297,$C24,Checks!$C$2:$C$1297,"N",Checks!$F$2:$F$1297,"&gt;=0")</f>
        <v>3</v>
      </c>
      <c r="T24" s="16" t="n">
        <f aca="false">K24+M24+O24+Q24+S24</f>
        <v>29</v>
      </c>
      <c r="U24" s="22" t="n">
        <f aca="false">T24/29</f>
        <v>1</v>
      </c>
      <c r="V24" s="16" t="str">
        <f aca="false">IF(T24&gt;=26,"High",IF(T24&gt;=20,"Medium","Low"))</f>
        <v>High</v>
      </c>
      <c r="W24" s="23" t="n">
        <f aca="false">IF((IF(K24&gt;0,Rubric!$C$3,0)+IF(M24&gt;0,Rubric!$C$4,0)+IF(O24&gt;0,Rubric!$C$5,0)+IF(Q24&gt;0,Rubric!$C$6,0)+IF(S24&gt;0,Rubric!$C$7,0))=0,"",ROUND(100*(IF(K24&gt;0,Rubric!$C$3*J24,0)+IF(M24&gt;0,Rubric!$C$4*L24,0)+IF(O24&gt;0,Rubric!$C$5*N24,0)+IF(Q24&gt;0,Rubric!$C$6*P24,0)+IF(S24&gt;0,Rubric!$C$7*R24,0))/(IF(K24&gt;0,Rubric!$C$3,0)+IF(M24&gt;0,Rubric!$C$4,0)+IF(O24&gt;0,Rubric!$C$5,0)+IF(Q24&gt;0,Rubric!$C$6,0)+IF(S24&gt;0,Rubric!$C$7,0)),1))</f>
        <v>61</v>
      </c>
      <c r="X24" s="24" t="str">
        <f aca="false">IF(W24="","",IF(W24&gt;=Rubric!$C$11,"A",IF(W24&gt;=Rubric!$C$12,"B",IF(W24&gt;=Rubric!$C$13,"C",IF(W24&gt;=Rubric!$C$14,"D","F")))))</f>
        <v>C</v>
      </c>
      <c r="Y24" s="18" t="str">
        <f aca="false">IF(X24="","",IF(X24="A","Benchmark",IF(X24="B","Strong",IF(X24="C","Developing",IF(X24="D","Needs work","At risk")))))</f>
        <v>Developing</v>
      </c>
      <c r="Z24" s="18" t="str">
        <f aca="false">IF(COUNT(J24,L24,N24,P24,R24)=0,"",INDEX({"Findability","Catalog","Buy","Trust","Content"},MATCH(MIN(J24,L24,N24,P24,R24),CHOOSE({1,2,3,4,5},J24,L24,N24,P24,R24),0)))</f>
        <v>Buy</v>
      </c>
      <c r="AA24" s="19" t="s">
        <v>146</v>
      </c>
      <c r="AB24" s="25" t="s">
        <v>147</v>
      </c>
    </row>
    <row r="25" customFormat="false" ht="30" hidden="false" customHeight="true" outlineLevel="0" collapsed="false">
      <c r="A25" s="16" t="n">
        <f aca="false">IF(W25="","",RANK(W25,$W$2:$W$25,0))</f>
        <v>13</v>
      </c>
      <c r="B25" s="16" t="n">
        <f aca="false">IF(W25="","",1+COUNTIFS($D$2:$D$25,"Benchmark",$W$2:$W$25,"&gt;"&amp;W25))</f>
        <v>12</v>
      </c>
      <c r="C25" s="17" t="s">
        <v>148</v>
      </c>
      <c r="D25" s="16" t="s">
        <v>136</v>
      </c>
      <c r="E25" s="18" t="s">
        <v>149</v>
      </c>
      <c r="F25" s="18" t="s">
        <v>150</v>
      </c>
      <c r="G25" s="18" t="s">
        <v>151</v>
      </c>
      <c r="H25" s="19" t="s">
        <v>152</v>
      </c>
      <c r="I25" s="16" t="s">
        <v>50</v>
      </c>
      <c r="J25" s="20" t="n">
        <f aca="false">IFERROR(SUMIFS(Checks!$F$2:$F$1297,Checks!$A$2:$A$1297,$C25,Checks!$C$2:$C$1297,"F")/(2*COUNTIFS(Checks!$A$2:$A$1297,$C25,Checks!$C$2:$C$1297,"F",Checks!$F$2:$F$1297,"&gt;=0")),"")</f>
        <v>0.6875</v>
      </c>
      <c r="K25" s="21" t="n">
        <f aca="false">COUNTIFS(Checks!$A$2:$A$1297,$C25,Checks!$C$2:$C$1297,"F",Checks!$F$2:$F$1297,"&gt;=0")</f>
        <v>8</v>
      </c>
      <c r="L25" s="20" t="n">
        <f aca="false">IFERROR(SUMIFS(Checks!$F$2:$F$1297,Checks!$A$2:$A$1297,$C25,Checks!$C$2:$C$1297,"C")/(2*COUNTIFS(Checks!$A$2:$A$1297,$C25,Checks!$C$2:$C$1297,"C",Checks!$F$2:$F$1297,"&gt;=0")),"")</f>
        <v>0.875</v>
      </c>
      <c r="M25" s="21" t="n">
        <f aca="false">COUNTIFS(Checks!$A$2:$A$1297,$C25,Checks!$C$2:$C$1297,"C",Checks!$F$2:$F$1297,"&gt;=0")</f>
        <v>8</v>
      </c>
      <c r="N25" s="20" t="n">
        <f aca="false">IFERROR(SUMIFS(Checks!$F$2:$F$1297,Checks!$A$2:$A$1297,$C25,Checks!$C$2:$C$1297,"B")/(2*COUNTIFS(Checks!$A$2:$A$1297,$C25,Checks!$C$2:$C$1297,"B",Checks!$F$2:$F$1297,"&gt;=0")),"")</f>
        <v>0.7</v>
      </c>
      <c r="O25" s="21" t="n">
        <f aca="false">COUNTIFS(Checks!$A$2:$A$1297,$C25,Checks!$C$2:$C$1297,"B",Checks!$F$2:$F$1297,"&gt;=0")</f>
        <v>5</v>
      </c>
      <c r="P25" s="20" t="n">
        <f aca="false">IFERROR(SUMIFS(Checks!$F$2:$F$1297,Checks!$A$2:$A$1297,$C25,Checks!$C$2:$C$1297,"T")/(2*COUNTIFS(Checks!$A$2:$A$1297,$C25,Checks!$C$2:$C$1297,"T",Checks!$F$2:$F$1297,"&gt;=0")),"")</f>
        <v>0.9</v>
      </c>
      <c r="Q25" s="21" t="n">
        <f aca="false">COUNTIFS(Checks!$A$2:$A$1297,$C25,Checks!$C$2:$C$1297,"T",Checks!$F$2:$F$1297,"&gt;=0")</f>
        <v>5</v>
      </c>
      <c r="R25" s="20" t="n">
        <f aca="false">IFERROR(SUMIFS(Checks!$F$2:$F$1297,Checks!$A$2:$A$1297,$C25,Checks!$C$2:$C$1297,"N")/(2*COUNTIFS(Checks!$A$2:$A$1297,$C25,Checks!$C$2:$C$1297,"N",Checks!$F$2:$F$1297,"&gt;=0")),"")</f>
        <v>0.666666666666667</v>
      </c>
      <c r="S25" s="21" t="n">
        <f aca="false">COUNTIFS(Checks!$A$2:$A$1297,$C25,Checks!$C$2:$C$1297,"N",Checks!$F$2:$F$1297,"&gt;=0")</f>
        <v>3</v>
      </c>
      <c r="T25" s="16" t="n">
        <f aca="false">K25+M25+O25+Q25+S25</f>
        <v>29</v>
      </c>
      <c r="U25" s="22" t="n">
        <f aca="false">T25/29</f>
        <v>1</v>
      </c>
      <c r="V25" s="16" t="str">
        <f aca="false">IF(T25&gt;=26,"High",IF(T25&gt;=20,"Medium","Low"))</f>
        <v>High</v>
      </c>
      <c r="W25" s="23" t="n">
        <f aca="false">IF((IF(K25&gt;0,Rubric!$C$3,0)+IF(M25&gt;0,Rubric!$C$4,0)+IF(O25&gt;0,Rubric!$C$5,0)+IF(Q25&gt;0,Rubric!$C$6,0)+IF(S25&gt;0,Rubric!$C$7,0))=0,"",ROUND(100*(IF(K25&gt;0,Rubric!$C$3*J25,0)+IF(M25&gt;0,Rubric!$C$4*L25,0)+IF(O25&gt;0,Rubric!$C$5*N25,0)+IF(Q25&gt;0,Rubric!$C$6*P25,0)+IF(S25&gt;0,Rubric!$C$7*R25,0))/(IF(K25&gt;0,Rubric!$C$3,0)+IF(M25&gt;0,Rubric!$C$4,0)+IF(O25&gt;0,Rubric!$C$5,0)+IF(Q25&gt;0,Rubric!$C$6,0)+IF(S25&gt;0,Rubric!$C$7,0)),1))</f>
        <v>77.6</v>
      </c>
      <c r="X25" s="24" t="str">
        <f aca="false">IF(W25="","",IF(W25&gt;=Rubric!$C$11,"A",IF(W25&gt;=Rubric!$C$12,"B",IF(W25&gt;=Rubric!$C$13,"C",IF(W25&gt;=Rubric!$C$14,"D","F")))))</f>
        <v>B</v>
      </c>
      <c r="Y25" s="18" t="str">
        <f aca="false">IF(X25="","",IF(X25="A","Benchmark",IF(X25="B","Strong",IF(X25="C","Developing",IF(X25="D","Needs work","At risk")))))</f>
        <v>Strong</v>
      </c>
      <c r="Z25" s="18" t="str">
        <f aca="false">IF(COUNT(J25,L25,N25,P25,R25)=0,"",INDEX({"Findability","Catalog","Buy","Trust","Content"},MATCH(MIN(J25,L25,N25,P25,R25),CHOOSE({1,2,3,4,5},J25,L25,N25,P25,R25),0)))</f>
        <v>Content</v>
      </c>
      <c r="AA25" s="19" t="s">
        <v>153</v>
      </c>
      <c r="AB25" s="25" t="s">
        <v>154</v>
      </c>
    </row>
    <row r="27" customFormat="false" ht="15" hidden="false" customHeight="false" outlineLevel="0" collapsed="false">
      <c r="C27" s="26" t="s">
        <v>155</v>
      </c>
      <c r="W27" s="26" t="n">
        <f aca="false">ROUND(AVERAGEIF(D2:D25,"Benchmark",W2:W25),1)</f>
        <v>75.9</v>
      </c>
    </row>
    <row r="28" customFormat="false" ht="15" hidden="false" customHeight="false" outlineLevel="0" collapsed="false">
      <c r="C28" s="26" t="s">
        <v>156</v>
      </c>
    </row>
    <row r="29" customFormat="false" ht="30" hidden="false" customHeight="true" outlineLevel="0" collapsed="false">
      <c r="C29" s="27" t="s">
        <v>157</v>
      </c>
      <c r="D29" s="27"/>
      <c r="E29" s="27"/>
      <c r="F29" s="27"/>
      <c r="G29" s="27"/>
      <c r="H29" s="27"/>
      <c r="I29" s="27"/>
      <c r="J29" s="27"/>
      <c r="K29" s="27"/>
      <c r="L29" s="27"/>
      <c r="M29" s="27"/>
      <c r="N29" s="27"/>
    </row>
  </sheetData>
  <autoFilter ref="A1:AB25"/>
  <mergeCells count="1">
    <mergeCell ref="C29:N29"/>
  </mergeCells>
  <conditionalFormatting sqref="W2:W25">
    <cfRule type="dataBar" priority="2">
      <dataBar showValue="1" minLength="10" maxLength="90">
        <cfvo type="num" val="0"/>
        <cfvo type="num" val="100"/>
        <color rgb="FFC8451F"/>
      </dataBar>
      <extLst>
        <ext xmlns:x14="http://schemas.microsoft.com/office/spreadsheetml/2009/9/main" uri="{B025F937-C7B1-47D3-B67F-A62EFF666E3E}">
          <x14:id>{2B3632EA-5041-4E98-856C-FD35D1C34238}</x14:id>
        </ext>
      </extLst>
    </cfRule>
  </conditionalFormatting>
  <conditionalFormatting sqref="X2:X25">
    <cfRule type="cellIs" priority="3" operator="equal" aboveAverage="0" equalAverage="0" bottom="0" percent="0" rank="0" text="" dxfId="12">
      <formula>"A"</formula>
    </cfRule>
    <cfRule type="cellIs" priority="4" operator="equal" aboveAverage="0" equalAverage="0" bottom="0" percent="0" rank="0" text="" dxfId="13">
      <formula>"B"</formula>
    </cfRule>
    <cfRule type="cellIs" priority="5" operator="equal" aboveAverage="0" equalAverage="0" bottom="0" percent="0" rank="0" text="" dxfId="14">
      <formula>"C"</formula>
    </cfRule>
    <cfRule type="cellIs" priority="6" operator="equal" aboveAverage="0" equalAverage="0" bottom="0" percent="0" rank="0" text="" dxfId="15">
      <formula>"D"</formula>
    </cfRule>
    <cfRule type="cellIs" priority="7" operator="equal" aboveAverage="0" equalAverage="0" bottom="0" percent="0" rank="0" text="" dxfId="16">
      <formula>"F"</formula>
    </cfRule>
  </conditionalFormatting>
  <hyperlinks>
    <hyperlink ref="H2" r:id="rId1" display="https://www.stormykromer.com"/>
    <hyperlink ref="H3" r:id="rId2" display="https://www.gardner-white.com"/>
    <hyperlink ref="H4" r:id="rId3" display="https://www.cherryrepublic.com"/>
    <hyperlink ref="H5" r:id="rId4" display="https://www.spoon.com"/>
    <hyperlink ref="H6" r:id="rId5" display="https://www.bissell.com"/>
    <hyperlink ref="H7" r:id="rId6" display="https://www.la-z-boy.com"/>
    <hyperlink ref="H8" r:id="rId7" display="https://www.shinola.com"/>
    <hyperlink ref="H9" r:id="rId8" display="https://www.zingermans.com"/>
    <hyperlink ref="H10" r:id="rId9" display="https://www.dunhamssports.com"/>
    <hyperlink ref="H11" r:id="rId10" display="https://www.apparelwholesaledepot.com"/>
    <hyperlink ref="H12" r:id="rId11" display="https://www.madeindetroit.com"/>
    <hyperlink ref="H13" r:id="rId12" display="https://www.englishgardens.com"/>
    <hyperlink ref="H14" r:id="rId13" display="https://www.petsuppliesplus.com"/>
    <hyperlink ref="H15" r:id="rId14" display="https://www.plummarket.com"/>
    <hyperlink ref="H16" r:id="rId15" display="https://macombwholesale.net"/>
    <hyperlink ref="H17" r:id="rId16" display="https://liparifoods.com"/>
    <hyperlink ref="H18" r:id="rId17" display="https://www.belletire.com"/>
    <hyperlink ref="H19" r:id="rId18" display="https://www.germack.com"/>
    <hyperlink ref="H20" r:id="rId19" display="https://www.faygo.com"/>
    <hyperlink ref="H21" r:id="rId20" display="https://www.atlaswholesalefood.com"/>
    <hyperlink ref="H22" r:id="rId21" display="https://www.sunvalleyfoods.com"/>
    <hyperlink ref="H23" r:id="rId22" display="https://www.fairhavenhealth.com"/>
    <hyperlink ref="AA23" r:id="rId23" display="https://mousabatarseh.com/blueroot-review/"/>
    <hyperlink ref="H24" r:id="rId24" display="https://federalfp.com"/>
    <hyperlink ref="AA24" r:id="rId25" display="https://mousabatarseh.com/federal-fluid-power-review/"/>
    <hyperlink ref="H25" r:id="rId26" display="https://www.royalapparel.net"/>
    <hyperlink ref="AA25" r:id="rId27" display="https://mousabatarseh.com/royal-apparel-review/"/>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extLst>
    <ext xmlns:x14="http://schemas.microsoft.com/office/spreadsheetml/2009/9/main" uri="{78C0D931-6437-407d-A8EE-F0AAD7539E65}">
      <x14:conditionalFormattings>
        <x14:conditionalFormatting xmlns:xm="http://schemas.microsoft.com/office/excel/2006/main">
          <x14:cfRule type="dataBar" id="{2B3632EA-5041-4E98-856C-FD35D1C34238}">
            <x14:dataBar minLength="10" maxLength="90" axisPosition="none" gradient="true">
              <x14:cfvo type="num">
                <xm:f>0</xm:f>
              </x14:cfvo>
              <x14:cfvo type="num">
                <xm:f>100</xm:f>
              </x14:cfvo>
              <x14:negativeFillColor rgb="FFC8451F"/>
              <x14:axisColor rgb="FF000000"/>
            </x14:dataBar>
          </x14:cfRule>
          <xm:sqref>W2:W25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0"/>
    <col collapsed="false" customWidth="true" hidden="false" outlineLevel="0" max="4" min="4" style="0" width="56"/>
    <col collapsed="false" customWidth="true" hidden="false" outlineLevel="0" max="7" min="5" style="0" width="44"/>
    <col collapsed="false" customWidth="true" hidden="false" outlineLevel="0" max="8" min="8" style="0" width="70"/>
  </cols>
  <sheetData>
    <row r="1" customFormat="false" ht="22.05" hidden="false" customHeight="false" outlineLevel="0" collapsed="false">
      <c r="A1" s="1" t="s">
        <v>158</v>
      </c>
    </row>
    <row r="2" customFormat="false" ht="15" hidden="false" customHeight="false" outlineLevel="0" collapsed="false">
      <c r="A2" s="5" t="s">
        <v>159</v>
      </c>
      <c r="B2" s="5" t="s">
        <v>160</v>
      </c>
      <c r="C2" s="5" t="s">
        <v>161</v>
      </c>
      <c r="D2" s="5" t="s">
        <v>162</v>
      </c>
    </row>
    <row r="3" customFormat="false" ht="15" hidden="false" customHeight="false" outlineLevel="0" collapsed="false">
      <c r="A3" s="8" t="s">
        <v>163</v>
      </c>
      <c r="B3" s="8" t="s">
        <v>164</v>
      </c>
      <c r="C3" s="28" t="n">
        <v>25</v>
      </c>
      <c r="D3" s="15" t="s">
        <v>165</v>
      </c>
    </row>
    <row r="4" customFormat="false" ht="15" hidden="false" customHeight="false" outlineLevel="0" collapsed="false">
      <c r="A4" s="8" t="s">
        <v>166</v>
      </c>
      <c r="B4" s="8" t="s">
        <v>167</v>
      </c>
      <c r="C4" s="28" t="n">
        <v>30</v>
      </c>
      <c r="D4" s="15" t="s">
        <v>168</v>
      </c>
    </row>
    <row r="5" customFormat="false" ht="15" hidden="false" customHeight="false" outlineLevel="0" collapsed="false">
      <c r="A5" s="8" t="s">
        <v>169</v>
      </c>
      <c r="B5" s="8" t="s">
        <v>170</v>
      </c>
      <c r="C5" s="28" t="n">
        <v>20</v>
      </c>
      <c r="D5" s="15" t="s">
        <v>171</v>
      </c>
    </row>
    <row r="6" customFormat="false" ht="15" hidden="false" customHeight="false" outlineLevel="0" collapsed="false">
      <c r="A6" s="8" t="s">
        <v>172</v>
      </c>
      <c r="B6" s="8" t="s">
        <v>173</v>
      </c>
      <c r="C6" s="28" t="n">
        <v>15</v>
      </c>
      <c r="D6" s="15" t="s">
        <v>174</v>
      </c>
    </row>
    <row r="7" customFormat="false" ht="15" hidden="false" customHeight="false" outlineLevel="0" collapsed="false">
      <c r="A7" s="8" t="s">
        <v>175</v>
      </c>
      <c r="B7" s="8" t="s">
        <v>176</v>
      </c>
      <c r="C7" s="28" t="n">
        <v>10</v>
      </c>
      <c r="D7" s="15" t="s">
        <v>177</v>
      </c>
    </row>
    <row r="8" customFormat="false" ht="15" hidden="false" customHeight="false" outlineLevel="0" collapsed="false">
      <c r="B8" s="26" t="s">
        <v>178</v>
      </c>
      <c r="C8" s="26" t="n">
        <f aca="false">SUM(C3:C7)</f>
        <v>100</v>
      </c>
    </row>
    <row r="10" customFormat="false" ht="15" hidden="false" customHeight="false" outlineLevel="0" collapsed="false">
      <c r="A10" s="26" t="s">
        <v>179</v>
      </c>
    </row>
    <row r="11" customFormat="false" ht="15" hidden="false" customHeight="false" outlineLevel="0" collapsed="false">
      <c r="A11" s="8" t="s">
        <v>180</v>
      </c>
      <c r="B11" s="8" t="s">
        <v>45</v>
      </c>
      <c r="C11" s="28" t="n">
        <v>85</v>
      </c>
    </row>
    <row r="12" customFormat="false" ht="15" hidden="false" customHeight="false" outlineLevel="0" collapsed="false">
      <c r="A12" s="8" t="s">
        <v>169</v>
      </c>
      <c r="B12" s="8" t="s">
        <v>181</v>
      </c>
      <c r="C12" s="28" t="n">
        <v>70</v>
      </c>
    </row>
    <row r="13" customFormat="false" ht="15" hidden="false" customHeight="false" outlineLevel="0" collapsed="false">
      <c r="A13" s="8" t="s">
        <v>166</v>
      </c>
      <c r="B13" s="8" t="s">
        <v>182</v>
      </c>
      <c r="C13" s="28" t="n">
        <v>55</v>
      </c>
    </row>
    <row r="14" customFormat="false" ht="15" hidden="false" customHeight="false" outlineLevel="0" collapsed="false">
      <c r="A14" s="8" t="s">
        <v>183</v>
      </c>
      <c r="B14" s="8" t="s">
        <v>184</v>
      </c>
      <c r="C14" s="28" t="n">
        <v>40</v>
      </c>
    </row>
    <row r="15" customFormat="false" ht="15" hidden="false" customHeight="false" outlineLevel="0" collapsed="false">
      <c r="A15" s="8" t="s">
        <v>163</v>
      </c>
      <c r="B15" s="8" t="s">
        <v>185</v>
      </c>
      <c r="C15" s="8" t="s">
        <v>186</v>
      </c>
    </row>
    <row r="16" customFormat="false" ht="15" hidden="false" customHeight="false" outlineLevel="0" collapsed="false">
      <c r="A16" s="2" t="s">
        <v>187</v>
      </c>
    </row>
    <row r="17" customFormat="false" ht="30" hidden="false" customHeight="true" outlineLevel="0" collapsed="false">
      <c r="A17" s="29" t="s">
        <v>188</v>
      </c>
      <c r="B17" s="29"/>
      <c r="C17" s="29"/>
      <c r="D17" s="29"/>
      <c r="E17" s="29"/>
      <c r="F17" s="29"/>
      <c r="G17" s="29"/>
      <c r="H17" s="29"/>
    </row>
    <row r="19" customFormat="false" ht="22.05" hidden="false" customHeight="false" outlineLevel="0" collapsed="false">
      <c r="A19" s="1" t="s">
        <v>189</v>
      </c>
    </row>
    <row r="20" customFormat="false" ht="15" hidden="false" customHeight="false" outlineLevel="0" collapsed="false">
      <c r="A20" s="5" t="s">
        <v>190</v>
      </c>
      <c r="B20" s="5" t="s">
        <v>191</v>
      </c>
      <c r="C20" s="5" t="s">
        <v>159</v>
      </c>
      <c r="D20" s="5" t="s">
        <v>192</v>
      </c>
      <c r="E20" s="5" t="s">
        <v>193</v>
      </c>
      <c r="F20" s="5" t="s">
        <v>194</v>
      </c>
      <c r="G20" s="5"/>
      <c r="H20" s="5" t="s">
        <v>195</v>
      </c>
    </row>
    <row r="21" customFormat="false" ht="43.5" hidden="false" customHeight="true" outlineLevel="0" collapsed="false">
      <c r="A21" s="8" t="s">
        <v>196</v>
      </c>
      <c r="B21" s="8" t="s">
        <v>197</v>
      </c>
      <c r="C21" s="8" t="s">
        <v>163</v>
      </c>
      <c r="D21" s="15" t="s">
        <v>198</v>
      </c>
      <c r="E21" s="15" t="s">
        <v>199</v>
      </c>
      <c r="F21" s="15" t="s">
        <v>200</v>
      </c>
      <c r="G21" s="8"/>
      <c r="H21" s="15"/>
    </row>
    <row r="22" customFormat="false" ht="43.5" hidden="false" customHeight="true" outlineLevel="0" collapsed="false">
      <c r="A22" s="8" t="s">
        <v>201</v>
      </c>
      <c r="B22" s="8" t="s">
        <v>202</v>
      </c>
      <c r="C22" s="8" t="s">
        <v>163</v>
      </c>
      <c r="D22" s="15" t="s">
        <v>203</v>
      </c>
      <c r="E22" s="15" t="s">
        <v>204</v>
      </c>
      <c r="F22" s="15" t="s">
        <v>205</v>
      </c>
      <c r="G22" s="8"/>
      <c r="H22" s="15" t="s">
        <v>206</v>
      </c>
    </row>
    <row r="23" customFormat="false" ht="43.5" hidden="false" customHeight="true" outlineLevel="0" collapsed="false">
      <c r="A23" s="8" t="s">
        <v>207</v>
      </c>
      <c r="B23" s="8" t="s">
        <v>208</v>
      </c>
      <c r="C23" s="8" t="s">
        <v>163</v>
      </c>
      <c r="D23" s="15" t="s">
        <v>209</v>
      </c>
      <c r="E23" s="15" t="s">
        <v>210</v>
      </c>
      <c r="F23" s="15" t="s">
        <v>211</v>
      </c>
      <c r="G23" s="8"/>
      <c r="H23" s="15" t="s">
        <v>212</v>
      </c>
    </row>
    <row r="24" customFormat="false" ht="43.5" hidden="false" customHeight="true" outlineLevel="0" collapsed="false">
      <c r="A24" s="8" t="s">
        <v>213</v>
      </c>
      <c r="B24" s="8" t="s">
        <v>214</v>
      </c>
      <c r="C24" s="8" t="s">
        <v>163</v>
      </c>
      <c r="D24" s="15" t="s">
        <v>215</v>
      </c>
      <c r="E24" s="15" t="s">
        <v>216</v>
      </c>
      <c r="F24" s="15" t="s">
        <v>217</v>
      </c>
      <c r="G24" s="8"/>
      <c r="H24" s="15" t="s">
        <v>218</v>
      </c>
    </row>
    <row r="25" customFormat="false" ht="43.5" hidden="false" customHeight="true" outlineLevel="0" collapsed="false">
      <c r="A25" s="8" t="s">
        <v>219</v>
      </c>
      <c r="B25" s="8" t="s">
        <v>220</v>
      </c>
      <c r="C25" s="8" t="s">
        <v>163</v>
      </c>
      <c r="D25" s="15" t="s">
        <v>221</v>
      </c>
      <c r="E25" s="15" t="s">
        <v>222</v>
      </c>
      <c r="F25" s="15" t="s">
        <v>223</v>
      </c>
      <c r="G25" s="8"/>
      <c r="H25" s="15" t="s">
        <v>224</v>
      </c>
    </row>
    <row r="26" customFormat="false" ht="43.5" hidden="false" customHeight="true" outlineLevel="0" collapsed="false">
      <c r="A26" s="8" t="s">
        <v>225</v>
      </c>
      <c r="B26" s="8" t="s">
        <v>226</v>
      </c>
      <c r="C26" s="8" t="s">
        <v>163</v>
      </c>
      <c r="D26" s="15" t="s">
        <v>227</v>
      </c>
      <c r="E26" s="15" t="s">
        <v>228</v>
      </c>
      <c r="F26" s="15" t="s">
        <v>223</v>
      </c>
      <c r="G26" s="8"/>
      <c r="H26" s="15" t="s">
        <v>229</v>
      </c>
    </row>
    <row r="27" customFormat="false" ht="43.5" hidden="false" customHeight="true" outlineLevel="0" collapsed="false">
      <c r="A27" s="8" t="s">
        <v>230</v>
      </c>
      <c r="B27" s="8" t="s">
        <v>231</v>
      </c>
      <c r="C27" s="8" t="s">
        <v>163</v>
      </c>
      <c r="D27" s="15" t="s">
        <v>232</v>
      </c>
      <c r="E27" s="15" t="s">
        <v>233</v>
      </c>
      <c r="F27" s="15" t="s">
        <v>234</v>
      </c>
      <c r="G27" s="8"/>
      <c r="H27" s="15" t="s">
        <v>235</v>
      </c>
    </row>
    <row r="28" customFormat="false" ht="43.5" hidden="false" customHeight="true" outlineLevel="0" collapsed="false">
      <c r="A28" s="8" t="s">
        <v>236</v>
      </c>
      <c r="B28" s="8" t="s">
        <v>237</v>
      </c>
      <c r="C28" s="8" t="s">
        <v>163</v>
      </c>
      <c r="D28" s="15" t="s">
        <v>238</v>
      </c>
      <c r="E28" s="15" t="s">
        <v>239</v>
      </c>
      <c r="F28" s="15" t="s">
        <v>240</v>
      </c>
      <c r="G28" s="8"/>
      <c r="H28" s="15" t="s">
        <v>241</v>
      </c>
    </row>
    <row r="29" customFormat="false" ht="43.5" hidden="false" customHeight="true" outlineLevel="0" collapsed="false">
      <c r="A29" s="8" t="s">
        <v>242</v>
      </c>
      <c r="B29" s="8" t="s">
        <v>243</v>
      </c>
      <c r="C29" s="8" t="s">
        <v>166</v>
      </c>
      <c r="D29" s="15" t="s">
        <v>244</v>
      </c>
      <c r="E29" s="15" t="s">
        <v>245</v>
      </c>
      <c r="F29" s="15" t="s">
        <v>246</v>
      </c>
      <c r="G29" s="8"/>
      <c r="H29" s="15"/>
    </row>
    <row r="30" customFormat="false" ht="43.5" hidden="false" customHeight="true" outlineLevel="0" collapsed="false">
      <c r="A30" s="8" t="s">
        <v>247</v>
      </c>
      <c r="B30" s="8" t="s">
        <v>248</v>
      </c>
      <c r="C30" s="8" t="s">
        <v>166</v>
      </c>
      <c r="D30" s="15" t="s">
        <v>249</v>
      </c>
      <c r="E30" s="15" t="s">
        <v>250</v>
      </c>
      <c r="F30" s="15" t="s">
        <v>251</v>
      </c>
      <c r="G30" s="8"/>
      <c r="H30" s="15"/>
    </row>
    <row r="31" customFormat="false" ht="43.5" hidden="false" customHeight="true" outlineLevel="0" collapsed="false">
      <c r="A31" s="8" t="s">
        <v>252</v>
      </c>
      <c r="B31" s="8" t="s">
        <v>253</v>
      </c>
      <c r="C31" s="8" t="s">
        <v>166</v>
      </c>
      <c r="D31" s="15" t="s">
        <v>254</v>
      </c>
      <c r="E31" s="15" t="s">
        <v>255</v>
      </c>
      <c r="F31" s="15" t="s">
        <v>256</v>
      </c>
      <c r="G31" s="8"/>
      <c r="H31" s="15"/>
    </row>
    <row r="32" customFormat="false" ht="43.5" hidden="false" customHeight="true" outlineLevel="0" collapsed="false">
      <c r="A32" s="8" t="s">
        <v>257</v>
      </c>
      <c r="B32" s="8" t="s">
        <v>258</v>
      </c>
      <c r="C32" s="8" t="s">
        <v>166</v>
      </c>
      <c r="D32" s="15" t="s">
        <v>259</v>
      </c>
      <c r="E32" s="15" t="s">
        <v>260</v>
      </c>
      <c r="F32" s="15" t="s">
        <v>261</v>
      </c>
      <c r="G32" s="8"/>
      <c r="H32" s="15"/>
    </row>
    <row r="33" customFormat="false" ht="43.5" hidden="false" customHeight="true" outlineLevel="0" collapsed="false">
      <c r="A33" s="8" t="s">
        <v>262</v>
      </c>
      <c r="B33" s="8" t="s">
        <v>263</v>
      </c>
      <c r="C33" s="8" t="s">
        <v>166</v>
      </c>
      <c r="D33" s="15" t="s">
        <v>264</v>
      </c>
      <c r="E33" s="15" t="s">
        <v>265</v>
      </c>
      <c r="F33" s="15" t="s">
        <v>266</v>
      </c>
      <c r="G33" s="8"/>
      <c r="H33" s="15"/>
    </row>
    <row r="34" customFormat="false" ht="43.5" hidden="false" customHeight="true" outlineLevel="0" collapsed="false">
      <c r="A34" s="8" t="s">
        <v>267</v>
      </c>
      <c r="B34" s="8" t="s">
        <v>268</v>
      </c>
      <c r="C34" s="8" t="s">
        <v>166</v>
      </c>
      <c r="D34" s="15" t="s">
        <v>269</v>
      </c>
      <c r="E34" s="15" t="s">
        <v>270</v>
      </c>
      <c r="F34" s="15" t="s">
        <v>271</v>
      </c>
      <c r="G34" s="8"/>
      <c r="H34" s="15"/>
    </row>
    <row r="35" customFormat="false" ht="43.5" hidden="false" customHeight="true" outlineLevel="0" collapsed="false">
      <c r="A35" s="8" t="s">
        <v>272</v>
      </c>
      <c r="B35" s="8" t="s">
        <v>273</v>
      </c>
      <c r="C35" s="8" t="s">
        <v>166</v>
      </c>
      <c r="D35" s="15" t="s">
        <v>274</v>
      </c>
      <c r="E35" s="15" t="s">
        <v>275</v>
      </c>
      <c r="F35" s="15" t="s">
        <v>223</v>
      </c>
      <c r="G35" s="8"/>
      <c r="H35" s="15"/>
    </row>
    <row r="36" customFormat="false" ht="43.5" hidden="false" customHeight="true" outlineLevel="0" collapsed="false">
      <c r="A36" s="8" t="s">
        <v>276</v>
      </c>
      <c r="B36" s="8" t="s">
        <v>277</v>
      </c>
      <c r="C36" s="8" t="s">
        <v>166</v>
      </c>
      <c r="D36" s="15" t="s">
        <v>278</v>
      </c>
      <c r="E36" s="15" t="s">
        <v>279</v>
      </c>
      <c r="F36" s="15" t="s">
        <v>223</v>
      </c>
      <c r="G36" s="8"/>
      <c r="H36" s="15"/>
    </row>
    <row r="37" customFormat="false" ht="43.5" hidden="false" customHeight="true" outlineLevel="0" collapsed="false">
      <c r="A37" s="8" t="s">
        <v>280</v>
      </c>
      <c r="B37" s="8" t="s">
        <v>281</v>
      </c>
      <c r="C37" s="8" t="s">
        <v>169</v>
      </c>
      <c r="D37" s="15" t="s">
        <v>282</v>
      </c>
      <c r="E37" s="15" t="s">
        <v>283</v>
      </c>
      <c r="F37" s="15" t="s">
        <v>284</v>
      </c>
      <c r="G37" s="8"/>
      <c r="H37" s="15"/>
    </row>
    <row r="38" customFormat="false" ht="43.5" hidden="false" customHeight="true" outlineLevel="0" collapsed="false">
      <c r="A38" s="8" t="s">
        <v>285</v>
      </c>
      <c r="B38" s="8" t="s">
        <v>286</v>
      </c>
      <c r="C38" s="8" t="s">
        <v>169</v>
      </c>
      <c r="D38" s="15" t="s">
        <v>287</v>
      </c>
      <c r="E38" s="15" t="s">
        <v>288</v>
      </c>
      <c r="F38" s="15" t="s">
        <v>223</v>
      </c>
      <c r="G38" s="8"/>
      <c r="H38" s="15" t="s">
        <v>289</v>
      </c>
    </row>
    <row r="39" customFormat="false" ht="43.5" hidden="false" customHeight="true" outlineLevel="0" collapsed="false">
      <c r="A39" s="8" t="s">
        <v>290</v>
      </c>
      <c r="B39" s="8" t="s">
        <v>291</v>
      </c>
      <c r="C39" s="8" t="s">
        <v>169</v>
      </c>
      <c r="D39" s="15" t="s">
        <v>292</v>
      </c>
      <c r="E39" s="15" t="s">
        <v>293</v>
      </c>
      <c r="F39" s="15" t="s">
        <v>294</v>
      </c>
      <c r="G39" s="8"/>
      <c r="H39" s="15"/>
    </row>
    <row r="40" customFormat="false" ht="43.5" hidden="false" customHeight="true" outlineLevel="0" collapsed="false">
      <c r="A40" s="8" t="s">
        <v>295</v>
      </c>
      <c r="B40" s="8" t="s">
        <v>296</v>
      </c>
      <c r="C40" s="8" t="s">
        <v>169</v>
      </c>
      <c r="D40" s="15" t="s">
        <v>297</v>
      </c>
      <c r="E40" s="15" t="s">
        <v>298</v>
      </c>
      <c r="F40" s="15" t="s">
        <v>223</v>
      </c>
      <c r="G40" s="8"/>
      <c r="H40" s="15"/>
    </row>
    <row r="41" customFormat="false" ht="43.5" hidden="false" customHeight="true" outlineLevel="0" collapsed="false">
      <c r="A41" s="8" t="s">
        <v>299</v>
      </c>
      <c r="B41" s="8" t="s">
        <v>300</v>
      </c>
      <c r="C41" s="8" t="s">
        <v>169</v>
      </c>
      <c r="D41" s="15" t="s">
        <v>301</v>
      </c>
      <c r="E41" s="15" t="s">
        <v>302</v>
      </c>
      <c r="F41" s="15" t="s">
        <v>223</v>
      </c>
      <c r="G41" s="8"/>
      <c r="H41" s="15"/>
    </row>
    <row r="42" customFormat="false" ht="43.5" hidden="false" customHeight="true" outlineLevel="0" collapsed="false">
      <c r="A42" s="8" t="s">
        <v>303</v>
      </c>
      <c r="B42" s="8" t="s">
        <v>304</v>
      </c>
      <c r="C42" s="8" t="s">
        <v>172</v>
      </c>
      <c r="D42" s="15" t="s">
        <v>305</v>
      </c>
      <c r="E42" s="15" t="s">
        <v>306</v>
      </c>
      <c r="F42" s="15" t="s">
        <v>223</v>
      </c>
      <c r="G42" s="8"/>
      <c r="H42" s="15"/>
    </row>
    <row r="43" customFormat="false" ht="43.5" hidden="false" customHeight="true" outlineLevel="0" collapsed="false">
      <c r="A43" s="8" t="s">
        <v>307</v>
      </c>
      <c r="B43" s="8" t="s">
        <v>308</v>
      </c>
      <c r="C43" s="8" t="s">
        <v>172</v>
      </c>
      <c r="D43" s="15" t="s">
        <v>309</v>
      </c>
      <c r="E43" s="15" t="s">
        <v>310</v>
      </c>
      <c r="F43" s="15" t="s">
        <v>223</v>
      </c>
      <c r="G43" s="8"/>
      <c r="H43" s="15"/>
    </row>
    <row r="44" customFormat="false" ht="43.5" hidden="false" customHeight="true" outlineLevel="0" collapsed="false">
      <c r="A44" s="8" t="s">
        <v>311</v>
      </c>
      <c r="B44" s="8" t="s">
        <v>312</v>
      </c>
      <c r="C44" s="8" t="s">
        <v>172</v>
      </c>
      <c r="D44" s="15" t="s">
        <v>313</v>
      </c>
      <c r="E44" s="15" t="s">
        <v>314</v>
      </c>
      <c r="F44" s="15" t="s">
        <v>223</v>
      </c>
      <c r="G44" s="8"/>
      <c r="H44" s="15"/>
    </row>
    <row r="45" customFormat="false" ht="43.5" hidden="false" customHeight="true" outlineLevel="0" collapsed="false">
      <c r="A45" s="8" t="s">
        <v>315</v>
      </c>
      <c r="B45" s="8" t="s">
        <v>316</v>
      </c>
      <c r="C45" s="8" t="s">
        <v>172</v>
      </c>
      <c r="D45" s="15" t="s">
        <v>317</v>
      </c>
      <c r="E45" s="15" t="s">
        <v>314</v>
      </c>
      <c r="F45" s="15" t="s">
        <v>223</v>
      </c>
      <c r="G45" s="8"/>
      <c r="H45" s="15"/>
    </row>
    <row r="46" customFormat="false" ht="43.5" hidden="false" customHeight="true" outlineLevel="0" collapsed="false">
      <c r="A46" s="8" t="s">
        <v>318</v>
      </c>
      <c r="B46" s="8" t="s">
        <v>319</v>
      </c>
      <c r="C46" s="8" t="s">
        <v>172</v>
      </c>
      <c r="D46" s="15" t="s">
        <v>320</v>
      </c>
      <c r="E46" s="15" t="s">
        <v>321</v>
      </c>
      <c r="F46" s="15" t="s">
        <v>322</v>
      </c>
      <c r="G46" s="8"/>
      <c r="H46" s="15" t="s">
        <v>323</v>
      </c>
    </row>
    <row r="47" customFormat="false" ht="43.5" hidden="false" customHeight="true" outlineLevel="0" collapsed="false">
      <c r="A47" s="8" t="s">
        <v>324</v>
      </c>
      <c r="B47" s="8" t="s">
        <v>325</v>
      </c>
      <c r="C47" s="8" t="s">
        <v>175</v>
      </c>
      <c r="D47" s="15" t="s">
        <v>326</v>
      </c>
      <c r="E47" s="15" t="s">
        <v>327</v>
      </c>
      <c r="F47" s="15" t="s">
        <v>223</v>
      </c>
      <c r="G47" s="8"/>
      <c r="H47" s="15" t="s">
        <v>328</v>
      </c>
    </row>
    <row r="48" customFormat="false" ht="43.5" hidden="false" customHeight="true" outlineLevel="0" collapsed="false">
      <c r="A48" s="8" t="s">
        <v>329</v>
      </c>
      <c r="B48" s="8" t="s">
        <v>330</v>
      </c>
      <c r="C48" s="8" t="s">
        <v>175</v>
      </c>
      <c r="D48" s="15" t="s">
        <v>331</v>
      </c>
      <c r="E48" s="15" t="s">
        <v>332</v>
      </c>
      <c r="F48" s="15" t="s">
        <v>223</v>
      </c>
      <c r="G48" s="8"/>
      <c r="H48" s="15"/>
    </row>
    <row r="49" customFormat="false" ht="43.5" hidden="false" customHeight="true" outlineLevel="0" collapsed="false">
      <c r="A49" s="8" t="s">
        <v>333</v>
      </c>
      <c r="B49" s="8" t="s">
        <v>334</v>
      </c>
      <c r="C49" s="8" t="s">
        <v>175</v>
      </c>
      <c r="D49" s="15" t="s">
        <v>335</v>
      </c>
      <c r="E49" s="15" t="s">
        <v>336</v>
      </c>
      <c r="F49" s="15" t="s">
        <v>223</v>
      </c>
      <c r="G49" s="8"/>
      <c r="H49" s="15"/>
    </row>
  </sheetData>
  <mergeCells count="1">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8"/>
    <col collapsed="false" customWidth="true" hidden="false" outlineLevel="0" max="4" min="4" style="0" width="9"/>
    <col collapsed="false" customWidth="true" hidden="false" outlineLevel="0" max="5" min="5" style="0" width="24"/>
    <col collapsed="false" customWidth="true" hidden="false" outlineLevel="0" max="6" min="6" style="0" width="8"/>
    <col collapsed="false" customWidth="true" hidden="false" outlineLevel="0" max="7" min="7" style="0" width="110"/>
  </cols>
  <sheetData>
    <row r="1" customFormat="false" ht="15" hidden="false" customHeight="false" outlineLevel="0" collapsed="false">
      <c r="A1" s="5" t="s">
        <v>18</v>
      </c>
      <c r="B1" s="5" t="s">
        <v>19</v>
      </c>
      <c r="C1" s="5" t="s">
        <v>159</v>
      </c>
      <c r="D1" s="5" t="s">
        <v>337</v>
      </c>
      <c r="E1" s="5" t="s">
        <v>191</v>
      </c>
      <c r="F1" s="5" t="s">
        <v>38</v>
      </c>
      <c r="G1" s="5" t="s">
        <v>338</v>
      </c>
    </row>
    <row r="2" customFormat="false" ht="15" hidden="false" customHeight="false" outlineLevel="0" collapsed="false">
      <c r="A2" s="8" t="s">
        <v>44</v>
      </c>
      <c r="B2" s="8" t="s">
        <v>45</v>
      </c>
      <c r="C2" s="6" t="s">
        <v>163</v>
      </c>
      <c r="D2" s="6" t="s">
        <v>196</v>
      </c>
      <c r="E2" s="8" t="s">
        <v>197</v>
      </c>
      <c r="F2" s="30" t="n">
        <v>2</v>
      </c>
      <c r="G2" s="15" t="s">
        <v>339</v>
      </c>
    </row>
    <row r="3" customFormat="false" ht="28.35" hidden="false" customHeight="false" outlineLevel="0" collapsed="false">
      <c r="A3" s="8" t="s">
        <v>44</v>
      </c>
      <c r="B3" s="8" t="s">
        <v>45</v>
      </c>
      <c r="C3" s="6" t="s">
        <v>163</v>
      </c>
      <c r="D3" s="6" t="s">
        <v>201</v>
      </c>
      <c r="E3" s="8" t="s">
        <v>202</v>
      </c>
      <c r="F3" s="30" t="n">
        <v>2</v>
      </c>
      <c r="G3" s="15" t="s">
        <v>340</v>
      </c>
    </row>
    <row r="4" customFormat="false" ht="15" hidden="false" customHeight="false" outlineLevel="0" collapsed="false">
      <c r="A4" s="8" t="s">
        <v>44</v>
      </c>
      <c r="B4" s="8" t="s">
        <v>45</v>
      </c>
      <c r="C4" s="6" t="s">
        <v>163</v>
      </c>
      <c r="D4" s="6" t="s">
        <v>207</v>
      </c>
      <c r="E4" s="8" t="s">
        <v>208</v>
      </c>
      <c r="F4" s="30" t="n">
        <v>2</v>
      </c>
      <c r="G4" s="15" t="s">
        <v>341</v>
      </c>
    </row>
    <row r="5" customFormat="false" ht="15" hidden="false" customHeight="false" outlineLevel="0" collapsed="false">
      <c r="A5" s="8" t="s">
        <v>44</v>
      </c>
      <c r="B5" s="8" t="s">
        <v>45</v>
      </c>
      <c r="C5" s="6" t="s">
        <v>163</v>
      </c>
      <c r="D5" s="6" t="s">
        <v>213</v>
      </c>
      <c r="E5" s="8" t="s">
        <v>214</v>
      </c>
      <c r="F5" s="30" t="n">
        <v>2</v>
      </c>
      <c r="G5" s="15" t="s">
        <v>342</v>
      </c>
    </row>
    <row r="6" customFormat="false" ht="28.35" hidden="false" customHeight="false" outlineLevel="0" collapsed="false">
      <c r="A6" s="8" t="s">
        <v>44</v>
      </c>
      <c r="B6" s="8" t="s">
        <v>45</v>
      </c>
      <c r="C6" s="6" t="s">
        <v>163</v>
      </c>
      <c r="D6" s="6" t="s">
        <v>219</v>
      </c>
      <c r="E6" s="8" t="s">
        <v>220</v>
      </c>
      <c r="F6" s="30" t="n">
        <v>2</v>
      </c>
      <c r="G6" s="15" t="s">
        <v>343</v>
      </c>
    </row>
    <row r="7" customFormat="false" ht="15" hidden="false" customHeight="false" outlineLevel="0" collapsed="false">
      <c r="A7" s="8" t="s">
        <v>44</v>
      </c>
      <c r="B7" s="8" t="s">
        <v>45</v>
      </c>
      <c r="C7" s="6" t="s">
        <v>163</v>
      </c>
      <c r="D7" s="6" t="s">
        <v>225</v>
      </c>
      <c r="E7" s="8" t="s">
        <v>226</v>
      </c>
      <c r="F7" s="30" t="n">
        <v>2</v>
      </c>
      <c r="G7" s="15" t="s">
        <v>344</v>
      </c>
    </row>
    <row r="8" customFormat="false" ht="15" hidden="false" customHeight="false" outlineLevel="0" collapsed="false">
      <c r="A8" s="8" t="s">
        <v>44</v>
      </c>
      <c r="B8" s="8" t="s">
        <v>45</v>
      </c>
      <c r="C8" s="6" t="s">
        <v>163</v>
      </c>
      <c r="D8" s="6" t="s">
        <v>230</v>
      </c>
      <c r="E8" s="8" t="s">
        <v>231</v>
      </c>
      <c r="F8" s="30" t="n">
        <v>1</v>
      </c>
      <c r="G8" s="15" t="s">
        <v>345</v>
      </c>
    </row>
    <row r="9" customFormat="false" ht="15" hidden="false" customHeight="false" outlineLevel="0" collapsed="false">
      <c r="A9" s="8" t="s">
        <v>44</v>
      </c>
      <c r="B9" s="8" t="s">
        <v>45</v>
      </c>
      <c r="C9" s="6" t="s">
        <v>163</v>
      </c>
      <c r="D9" s="6" t="s">
        <v>236</v>
      </c>
      <c r="E9" s="8" t="s">
        <v>237</v>
      </c>
      <c r="F9" s="30" t="n">
        <v>2</v>
      </c>
      <c r="G9" s="15" t="s">
        <v>346</v>
      </c>
    </row>
    <row r="10" customFormat="false" ht="15" hidden="false" customHeight="false" outlineLevel="0" collapsed="false">
      <c r="A10" s="8" t="s">
        <v>44</v>
      </c>
      <c r="B10" s="8" t="s">
        <v>45</v>
      </c>
      <c r="C10" s="6" t="s">
        <v>166</v>
      </c>
      <c r="D10" s="6" t="s">
        <v>242</v>
      </c>
      <c r="E10" s="8" t="s">
        <v>243</v>
      </c>
      <c r="F10" s="30" t="n">
        <v>2</v>
      </c>
      <c r="G10" s="15" t="s">
        <v>347</v>
      </c>
    </row>
    <row r="11" customFormat="false" ht="15" hidden="false" customHeight="false" outlineLevel="0" collapsed="false">
      <c r="A11" s="8" t="s">
        <v>44</v>
      </c>
      <c r="B11" s="8" t="s">
        <v>45</v>
      </c>
      <c r="C11" s="6" t="s">
        <v>166</v>
      </c>
      <c r="D11" s="6" t="s">
        <v>247</v>
      </c>
      <c r="E11" s="8" t="s">
        <v>248</v>
      </c>
      <c r="F11" s="30" t="n">
        <v>2</v>
      </c>
      <c r="G11" s="15" t="s">
        <v>348</v>
      </c>
    </row>
    <row r="12" customFormat="false" ht="15" hidden="false" customHeight="false" outlineLevel="0" collapsed="false">
      <c r="A12" s="8" t="s">
        <v>44</v>
      </c>
      <c r="B12" s="8" t="s">
        <v>45</v>
      </c>
      <c r="C12" s="6" t="s">
        <v>166</v>
      </c>
      <c r="D12" s="6" t="s">
        <v>252</v>
      </c>
      <c r="E12" s="8" t="s">
        <v>253</v>
      </c>
      <c r="F12" s="30" t="n">
        <v>2</v>
      </c>
      <c r="G12" s="15" t="s">
        <v>349</v>
      </c>
    </row>
    <row r="13" customFormat="false" ht="15" hidden="false" customHeight="false" outlineLevel="0" collapsed="false">
      <c r="A13" s="8" t="s">
        <v>44</v>
      </c>
      <c r="B13" s="8" t="s">
        <v>45</v>
      </c>
      <c r="C13" s="6" t="s">
        <v>166</v>
      </c>
      <c r="D13" s="6" t="s">
        <v>257</v>
      </c>
      <c r="E13" s="8" t="s">
        <v>258</v>
      </c>
      <c r="F13" s="30" t="n">
        <v>2</v>
      </c>
      <c r="G13" s="15" t="s">
        <v>350</v>
      </c>
    </row>
    <row r="14" customFormat="false" ht="15" hidden="false" customHeight="false" outlineLevel="0" collapsed="false">
      <c r="A14" s="8" t="s">
        <v>44</v>
      </c>
      <c r="B14" s="8" t="s">
        <v>45</v>
      </c>
      <c r="C14" s="6" t="s">
        <v>166</v>
      </c>
      <c r="D14" s="6" t="s">
        <v>262</v>
      </c>
      <c r="E14" s="8" t="s">
        <v>263</v>
      </c>
      <c r="F14" s="30" t="n">
        <v>2</v>
      </c>
      <c r="G14" s="15" t="s">
        <v>351</v>
      </c>
    </row>
    <row r="15" customFormat="false" ht="15" hidden="false" customHeight="false" outlineLevel="0" collapsed="false">
      <c r="A15" s="8" t="s">
        <v>44</v>
      </c>
      <c r="B15" s="8" t="s">
        <v>45</v>
      </c>
      <c r="C15" s="6" t="s">
        <v>166</v>
      </c>
      <c r="D15" s="6" t="s">
        <v>267</v>
      </c>
      <c r="E15" s="8" t="s">
        <v>268</v>
      </c>
      <c r="F15" s="30" t="n">
        <v>2</v>
      </c>
      <c r="G15" s="15" t="s">
        <v>352</v>
      </c>
    </row>
    <row r="16" customFormat="false" ht="15" hidden="false" customHeight="false" outlineLevel="0" collapsed="false">
      <c r="A16" s="8" t="s">
        <v>44</v>
      </c>
      <c r="B16" s="8" t="s">
        <v>45</v>
      </c>
      <c r="C16" s="6" t="s">
        <v>166</v>
      </c>
      <c r="D16" s="6" t="s">
        <v>272</v>
      </c>
      <c r="E16" s="8" t="s">
        <v>273</v>
      </c>
      <c r="F16" s="30" t="n">
        <v>2</v>
      </c>
      <c r="G16" s="15" t="s">
        <v>353</v>
      </c>
    </row>
    <row r="17" customFormat="false" ht="15" hidden="false" customHeight="false" outlineLevel="0" collapsed="false">
      <c r="A17" s="8" t="s">
        <v>44</v>
      </c>
      <c r="B17" s="8" t="s">
        <v>45</v>
      </c>
      <c r="C17" s="6" t="s">
        <v>166</v>
      </c>
      <c r="D17" s="6" t="s">
        <v>276</v>
      </c>
      <c r="E17" s="8" t="s">
        <v>277</v>
      </c>
      <c r="F17" s="30" t="n">
        <v>2</v>
      </c>
      <c r="G17" s="15" t="s">
        <v>354</v>
      </c>
    </row>
    <row r="18" customFormat="false" ht="15" hidden="false" customHeight="false" outlineLevel="0" collapsed="false">
      <c r="A18" s="8" t="s">
        <v>44</v>
      </c>
      <c r="B18" s="8" t="s">
        <v>45</v>
      </c>
      <c r="C18" s="6" t="s">
        <v>169</v>
      </c>
      <c r="D18" s="6" t="s">
        <v>280</v>
      </c>
      <c r="E18" s="8" t="s">
        <v>281</v>
      </c>
      <c r="F18" s="30" t="n">
        <v>2</v>
      </c>
      <c r="G18" s="15" t="s">
        <v>355</v>
      </c>
    </row>
    <row r="19" customFormat="false" ht="15" hidden="false" customHeight="false" outlineLevel="0" collapsed="false">
      <c r="A19" s="8" t="s">
        <v>44</v>
      </c>
      <c r="B19" s="8" t="s">
        <v>45</v>
      </c>
      <c r="C19" s="6" t="s">
        <v>169</v>
      </c>
      <c r="D19" s="6" t="s">
        <v>285</v>
      </c>
      <c r="E19" s="8" t="s">
        <v>286</v>
      </c>
      <c r="F19" s="30" t="n">
        <v>2</v>
      </c>
      <c r="G19" s="15" t="s">
        <v>356</v>
      </c>
    </row>
    <row r="20" customFormat="false" ht="15" hidden="false" customHeight="false" outlineLevel="0" collapsed="false">
      <c r="A20" s="8" t="s">
        <v>44</v>
      </c>
      <c r="B20" s="8" t="s">
        <v>45</v>
      </c>
      <c r="C20" s="6" t="s">
        <v>169</v>
      </c>
      <c r="D20" s="6" t="s">
        <v>290</v>
      </c>
      <c r="E20" s="8" t="s">
        <v>291</v>
      </c>
      <c r="F20" s="30" t="s">
        <v>357</v>
      </c>
      <c r="G20" s="15" t="s">
        <v>358</v>
      </c>
    </row>
    <row r="21" customFormat="false" ht="15" hidden="false" customHeight="false" outlineLevel="0" collapsed="false">
      <c r="A21" s="8" t="s">
        <v>44</v>
      </c>
      <c r="B21" s="8" t="s">
        <v>45</v>
      </c>
      <c r="C21" s="6" t="s">
        <v>169</v>
      </c>
      <c r="D21" s="6" t="s">
        <v>295</v>
      </c>
      <c r="E21" s="8" t="s">
        <v>296</v>
      </c>
      <c r="F21" s="30" t="n">
        <v>2</v>
      </c>
      <c r="G21" s="15" t="s">
        <v>359</v>
      </c>
    </row>
    <row r="22" customFormat="false" ht="15" hidden="false" customHeight="false" outlineLevel="0" collapsed="false">
      <c r="A22" s="8" t="s">
        <v>44</v>
      </c>
      <c r="B22" s="8" t="s">
        <v>45</v>
      </c>
      <c r="C22" s="6" t="s">
        <v>169</v>
      </c>
      <c r="D22" s="6" t="s">
        <v>299</v>
      </c>
      <c r="E22" s="8" t="s">
        <v>300</v>
      </c>
      <c r="F22" s="30" t="n">
        <v>2</v>
      </c>
      <c r="G22" s="15" t="s">
        <v>360</v>
      </c>
    </row>
    <row r="23" customFormat="false" ht="15" hidden="false" customHeight="false" outlineLevel="0" collapsed="false">
      <c r="A23" s="8" t="s">
        <v>44</v>
      </c>
      <c r="B23" s="8" t="s">
        <v>45</v>
      </c>
      <c r="C23" s="6" t="s">
        <v>172</v>
      </c>
      <c r="D23" s="6" t="s">
        <v>303</v>
      </c>
      <c r="E23" s="8" t="s">
        <v>304</v>
      </c>
      <c r="F23" s="30" t="n">
        <v>2</v>
      </c>
      <c r="G23" s="15" t="s">
        <v>361</v>
      </c>
    </row>
    <row r="24" customFormat="false" ht="28.35" hidden="false" customHeight="false" outlineLevel="0" collapsed="false">
      <c r="A24" s="8" t="s">
        <v>44</v>
      </c>
      <c r="B24" s="8" t="s">
        <v>45</v>
      </c>
      <c r="C24" s="6" t="s">
        <v>172</v>
      </c>
      <c r="D24" s="6" t="s">
        <v>307</v>
      </c>
      <c r="E24" s="8" t="s">
        <v>308</v>
      </c>
      <c r="F24" s="30" t="n">
        <v>2</v>
      </c>
      <c r="G24" s="15" t="s">
        <v>362</v>
      </c>
    </row>
    <row r="25" customFormat="false" ht="15" hidden="false" customHeight="false" outlineLevel="0" collapsed="false">
      <c r="A25" s="8" t="s">
        <v>44</v>
      </c>
      <c r="B25" s="8" t="s">
        <v>45</v>
      </c>
      <c r="C25" s="6" t="s">
        <v>172</v>
      </c>
      <c r="D25" s="6" t="s">
        <v>311</v>
      </c>
      <c r="E25" s="8" t="s">
        <v>312</v>
      </c>
      <c r="F25" s="30" t="n">
        <v>2</v>
      </c>
      <c r="G25" s="15" t="s">
        <v>363</v>
      </c>
    </row>
    <row r="26" customFormat="false" ht="28.35" hidden="false" customHeight="false" outlineLevel="0" collapsed="false">
      <c r="A26" s="8" t="s">
        <v>44</v>
      </c>
      <c r="B26" s="8" t="s">
        <v>45</v>
      </c>
      <c r="C26" s="6" t="s">
        <v>172</v>
      </c>
      <c r="D26" s="6" t="s">
        <v>315</v>
      </c>
      <c r="E26" s="8" t="s">
        <v>316</v>
      </c>
      <c r="F26" s="30" t="n">
        <v>2</v>
      </c>
      <c r="G26" s="15" t="s">
        <v>364</v>
      </c>
    </row>
    <row r="27" customFormat="false" ht="15" hidden="false" customHeight="false" outlineLevel="0" collapsed="false">
      <c r="A27" s="8" t="s">
        <v>44</v>
      </c>
      <c r="B27" s="8" t="s">
        <v>45</v>
      </c>
      <c r="C27" s="6" t="s">
        <v>172</v>
      </c>
      <c r="D27" s="6" t="s">
        <v>318</v>
      </c>
      <c r="E27" s="8" t="s">
        <v>319</v>
      </c>
      <c r="F27" s="30" t="n">
        <v>2</v>
      </c>
      <c r="G27" s="15" t="s">
        <v>365</v>
      </c>
    </row>
    <row r="28" customFormat="false" ht="15" hidden="false" customHeight="false" outlineLevel="0" collapsed="false">
      <c r="A28" s="8" t="s">
        <v>44</v>
      </c>
      <c r="B28" s="8" t="s">
        <v>45</v>
      </c>
      <c r="C28" s="6" t="s">
        <v>175</v>
      </c>
      <c r="D28" s="6" t="s">
        <v>324</v>
      </c>
      <c r="E28" s="8" t="s">
        <v>325</v>
      </c>
      <c r="F28" s="30" t="n">
        <v>0</v>
      </c>
      <c r="G28" s="15" t="s">
        <v>366</v>
      </c>
    </row>
    <row r="29" customFormat="false" ht="15" hidden="false" customHeight="false" outlineLevel="0" collapsed="false">
      <c r="A29" s="8" t="s">
        <v>44</v>
      </c>
      <c r="B29" s="8" t="s">
        <v>45</v>
      </c>
      <c r="C29" s="6" t="s">
        <v>175</v>
      </c>
      <c r="D29" s="6" t="s">
        <v>329</v>
      </c>
      <c r="E29" s="8" t="s">
        <v>330</v>
      </c>
      <c r="F29" s="30" t="n">
        <v>2</v>
      </c>
      <c r="G29" s="15" t="s">
        <v>367</v>
      </c>
    </row>
    <row r="30" customFormat="false" ht="28.35" hidden="false" customHeight="false" outlineLevel="0" collapsed="false">
      <c r="A30" s="8" t="s">
        <v>44</v>
      </c>
      <c r="B30" s="8" t="s">
        <v>45</v>
      </c>
      <c r="C30" s="6" t="s">
        <v>175</v>
      </c>
      <c r="D30" s="6" t="s">
        <v>333</v>
      </c>
      <c r="E30" s="8" t="s">
        <v>334</v>
      </c>
      <c r="F30" s="30" t="n">
        <v>2</v>
      </c>
      <c r="G30" s="15" t="s">
        <v>368</v>
      </c>
    </row>
    <row r="31" customFormat="false" ht="15" hidden="false" customHeight="false" outlineLevel="0" collapsed="false">
      <c r="A31" s="8" t="s">
        <v>52</v>
      </c>
      <c r="B31" s="8" t="s">
        <v>45</v>
      </c>
      <c r="C31" s="6" t="s">
        <v>163</v>
      </c>
      <c r="D31" s="6" t="s">
        <v>196</v>
      </c>
      <c r="E31" s="8" t="s">
        <v>197</v>
      </c>
      <c r="F31" s="30" t="n">
        <v>2</v>
      </c>
      <c r="G31" s="15" t="s">
        <v>369</v>
      </c>
    </row>
    <row r="32" customFormat="false" ht="15" hidden="false" customHeight="false" outlineLevel="0" collapsed="false">
      <c r="A32" s="8" t="s">
        <v>52</v>
      </c>
      <c r="B32" s="8" t="s">
        <v>45</v>
      </c>
      <c r="C32" s="6" t="s">
        <v>163</v>
      </c>
      <c r="D32" s="6" t="s">
        <v>201</v>
      </c>
      <c r="E32" s="8" t="s">
        <v>202</v>
      </c>
      <c r="F32" s="30" t="n">
        <v>2</v>
      </c>
      <c r="G32" s="15" t="s">
        <v>370</v>
      </c>
    </row>
    <row r="33" customFormat="false" ht="15" hidden="false" customHeight="false" outlineLevel="0" collapsed="false">
      <c r="A33" s="8" t="s">
        <v>52</v>
      </c>
      <c r="B33" s="8" t="s">
        <v>45</v>
      </c>
      <c r="C33" s="6" t="s">
        <v>163</v>
      </c>
      <c r="D33" s="6" t="s">
        <v>207</v>
      </c>
      <c r="E33" s="8" t="s">
        <v>208</v>
      </c>
      <c r="F33" s="30" t="n">
        <v>2</v>
      </c>
      <c r="G33" s="15" t="s">
        <v>371</v>
      </c>
    </row>
    <row r="34" customFormat="false" ht="15" hidden="false" customHeight="false" outlineLevel="0" collapsed="false">
      <c r="A34" s="8" t="s">
        <v>52</v>
      </c>
      <c r="B34" s="8" t="s">
        <v>45</v>
      </c>
      <c r="C34" s="6" t="s">
        <v>163</v>
      </c>
      <c r="D34" s="6" t="s">
        <v>213</v>
      </c>
      <c r="E34" s="8" t="s">
        <v>214</v>
      </c>
      <c r="F34" s="30" t="n">
        <v>2</v>
      </c>
      <c r="G34" s="15" t="s">
        <v>372</v>
      </c>
    </row>
    <row r="35" customFormat="false" ht="15" hidden="false" customHeight="false" outlineLevel="0" collapsed="false">
      <c r="A35" s="8" t="s">
        <v>52</v>
      </c>
      <c r="B35" s="8" t="s">
        <v>45</v>
      </c>
      <c r="C35" s="6" t="s">
        <v>163</v>
      </c>
      <c r="D35" s="6" t="s">
        <v>219</v>
      </c>
      <c r="E35" s="8" t="s">
        <v>220</v>
      </c>
      <c r="F35" s="30" t="n">
        <v>2</v>
      </c>
      <c r="G35" s="15" t="s">
        <v>373</v>
      </c>
    </row>
    <row r="36" customFormat="false" ht="15" hidden="false" customHeight="false" outlineLevel="0" collapsed="false">
      <c r="A36" s="8" t="s">
        <v>52</v>
      </c>
      <c r="B36" s="8" t="s">
        <v>45</v>
      </c>
      <c r="C36" s="6" t="s">
        <v>163</v>
      </c>
      <c r="D36" s="6" t="s">
        <v>225</v>
      </c>
      <c r="E36" s="8" t="s">
        <v>226</v>
      </c>
      <c r="F36" s="30" t="n">
        <v>2</v>
      </c>
      <c r="G36" s="15" t="s">
        <v>374</v>
      </c>
    </row>
    <row r="37" customFormat="false" ht="15" hidden="false" customHeight="false" outlineLevel="0" collapsed="false">
      <c r="A37" s="8" t="s">
        <v>52</v>
      </c>
      <c r="B37" s="8" t="s">
        <v>45</v>
      </c>
      <c r="C37" s="6" t="s">
        <v>163</v>
      </c>
      <c r="D37" s="6" t="s">
        <v>230</v>
      </c>
      <c r="E37" s="8" t="s">
        <v>231</v>
      </c>
      <c r="F37" s="30" t="s">
        <v>357</v>
      </c>
      <c r="G37" s="15" t="s">
        <v>375</v>
      </c>
    </row>
    <row r="38" customFormat="false" ht="15" hidden="false" customHeight="false" outlineLevel="0" collapsed="false">
      <c r="A38" s="8" t="s">
        <v>52</v>
      </c>
      <c r="B38" s="8" t="s">
        <v>45</v>
      </c>
      <c r="C38" s="6" t="s">
        <v>163</v>
      </c>
      <c r="D38" s="6" t="s">
        <v>236</v>
      </c>
      <c r="E38" s="8" t="s">
        <v>237</v>
      </c>
      <c r="F38" s="30" t="n">
        <v>1</v>
      </c>
      <c r="G38" s="15" t="s">
        <v>376</v>
      </c>
    </row>
    <row r="39" customFormat="false" ht="15" hidden="false" customHeight="false" outlineLevel="0" collapsed="false">
      <c r="A39" s="8" t="s">
        <v>52</v>
      </c>
      <c r="B39" s="8" t="s">
        <v>45</v>
      </c>
      <c r="C39" s="6" t="s">
        <v>166</v>
      </c>
      <c r="D39" s="6" t="s">
        <v>242</v>
      </c>
      <c r="E39" s="8" t="s">
        <v>243</v>
      </c>
      <c r="F39" s="30" t="n">
        <v>2</v>
      </c>
      <c r="G39" s="15" t="s">
        <v>377</v>
      </c>
    </row>
    <row r="40" customFormat="false" ht="15" hidden="false" customHeight="false" outlineLevel="0" collapsed="false">
      <c r="A40" s="8" t="s">
        <v>52</v>
      </c>
      <c r="B40" s="8" t="s">
        <v>45</v>
      </c>
      <c r="C40" s="6" t="s">
        <v>166</v>
      </c>
      <c r="D40" s="6" t="s">
        <v>247</v>
      </c>
      <c r="E40" s="8" t="s">
        <v>248</v>
      </c>
      <c r="F40" s="30" t="n">
        <v>2</v>
      </c>
      <c r="G40" s="15" t="s">
        <v>378</v>
      </c>
    </row>
    <row r="41" customFormat="false" ht="15" hidden="false" customHeight="false" outlineLevel="0" collapsed="false">
      <c r="A41" s="8" t="s">
        <v>52</v>
      </c>
      <c r="B41" s="8" t="s">
        <v>45</v>
      </c>
      <c r="C41" s="6" t="s">
        <v>166</v>
      </c>
      <c r="D41" s="6" t="s">
        <v>252</v>
      </c>
      <c r="E41" s="8" t="s">
        <v>253</v>
      </c>
      <c r="F41" s="30" t="s">
        <v>357</v>
      </c>
      <c r="G41" s="15" t="s">
        <v>379</v>
      </c>
    </row>
    <row r="42" customFormat="false" ht="15" hidden="false" customHeight="false" outlineLevel="0" collapsed="false">
      <c r="A42" s="8" t="s">
        <v>52</v>
      </c>
      <c r="B42" s="8" t="s">
        <v>45</v>
      </c>
      <c r="C42" s="6" t="s">
        <v>166</v>
      </c>
      <c r="D42" s="6" t="s">
        <v>257</v>
      </c>
      <c r="E42" s="8" t="s">
        <v>258</v>
      </c>
      <c r="F42" s="30" t="n">
        <v>2</v>
      </c>
      <c r="G42" s="15" t="s">
        <v>380</v>
      </c>
    </row>
    <row r="43" customFormat="false" ht="15" hidden="false" customHeight="false" outlineLevel="0" collapsed="false">
      <c r="A43" s="8" t="s">
        <v>52</v>
      </c>
      <c r="B43" s="8" t="s">
        <v>45</v>
      </c>
      <c r="C43" s="6" t="s">
        <v>166</v>
      </c>
      <c r="D43" s="6" t="s">
        <v>262</v>
      </c>
      <c r="E43" s="8" t="s">
        <v>263</v>
      </c>
      <c r="F43" s="30" t="n">
        <v>2</v>
      </c>
      <c r="G43" s="15" t="s">
        <v>381</v>
      </c>
    </row>
    <row r="44" customFormat="false" ht="15" hidden="false" customHeight="false" outlineLevel="0" collapsed="false">
      <c r="A44" s="8" t="s">
        <v>52</v>
      </c>
      <c r="B44" s="8" t="s">
        <v>45</v>
      </c>
      <c r="C44" s="6" t="s">
        <v>166</v>
      </c>
      <c r="D44" s="6" t="s">
        <v>267</v>
      </c>
      <c r="E44" s="8" t="s">
        <v>268</v>
      </c>
      <c r="F44" s="30" t="n">
        <v>2</v>
      </c>
      <c r="G44" s="15" t="s">
        <v>382</v>
      </c>
    </row>
    <row r="45" customFormat="false" ht="15" hidden="false" customHeight="false" outlineLevel="0" collapsed="false">
      <c r="A45" s="8" t="s">
        <v>52</v>
      </c>
      <c r="B45" s="8" t="s">
        <v>45</v>
      </c>
      <c r="C45" s="6" t="s">
        <v>166</v>
      </c>
      <c r="D45" s="6" t="s">
        <v>272</v>
      </c>
      <c r="E45" s="8" t="s">
        <v>273</v>
      </c>
      <c r="F45" s="30" t="s">
        <v>357</v>
      </c>
      <c r="G45" s="15" t="s">
        <v>383</v>
      </c>
    </row>
    <row r="46" customFormat="false" ht="15" hidden="false" customHeight="false" outlineLevel="0" collapsed="false">
      <c r="A46" s="8" t="s">
        <v>52</v>
      </c>
      <c r="B46" s="8" t="s">
        <v>45</v>
      </c>
      <c r="C46" s="6" t="s">
        <v>166</v>
      </c>
      <c r="D46" s="6" t="s">
        <v>276</v>
      </c>
      <c r="E46" s="8" t="s">
        <v>277</v>
      </c>
      <c r="F46" s="30" t="n">
        <v>1</v>
      </c>
      <c r="G46" s="15" t="s">
        <v>384</v>
      </c>
    </row>
    <row r="47" customFormat="false" ht="15" hidden="false" customHeight="false" outlineLevel="0" collapsed="false">
      <c r="A47" s="8" t="s">
        <v>52</v>
      </c>
      <c r="B47" s="8" t="s">
        <v>45</v>
      </c>
      <c r="C47" s="6" t="s">
        <v>169</v>
      </c>
      <c r="D47" s="6" t="s">
        <v>280</v>
      </c>
      <c r="E47" s="8" t="s">
        <v>281</v>
      </c>
      <c r="F47" s="30" t="s">
        <v>357</v>
      </c>
      <c r="G47" s="15" t="s">
        <v>385</v>
      </c>
    </row>
    <row r="48" customFormat="false" ht="15" hidden="false" customHeight="false" outlineLevel="0" collapsed="false">
      <c r="A48" s="8" t="s">
        <v>52</v>
      </c>
      <c r="B48" s="8" t="s">
        <v>45</v>
      </c>
      <c r="C48" s="6" t="s">
        <v>169</v>
      </c>
      <c r="D48" s="6" t="s">
        <v>285</v>
      </c>
      <c r="E48" s="8" t="s">
        <v>286</v>
      </c>
      <c r="F48" s="30" t="n">
        <v>2</v>
      </c>
      <c r="G48" s="15" t="s">
        <v>386</v>
      </c>
    </row>
    <row r="49" customFormat="false" ht="15" hidden="false" customHeight="false" outlineLevel="0" collapsed="false">
      <c r="A49" s="8" t="s">
        <v>52</v>
      </c>
      <c r="B49" s="8" t="s">
        <v>45</v>
      </c>
      <c r="C49" s="6" t="s">
        <v>169</v>
      </c>
      <c r="D49" s="6" t="s">
        <v>290</v>
      </c>
      <c r="E49" s="8" t="s">
        <v>291</v>
      </c>
      <c r="F49" s="30" t="s">
        <v>357</v>
      </c>
      <c r="G49" s="15" t="s">
        <v>387</v>
      </c>
    </row>
    <row r="50" customFormat="false" ht="28.35" hidden="false" customHeight="false" outlineLevel="0" collapsed="false">
      <c r="A50" s="8" t="s">
        <v>52</v>
      </c>
      <c r="B50" s="8" t="s">
        <v>45</v>
      </c>
      <c r="C50" s="6" t="s">
        <v>169</v>
      </c>
      <c r="D50" s="6" t="s">
        <v>295</v>
      </c>
      <c r="E50" s="8" t="s">
        <v>296</v>
      </c>
      <c r="F50" s="30" t="n">
        <v>2</v>
      </c>
      <c r="G50" s="15" t="s">
        <v>388</v>
      </c>
    </row>
    <row r="51" customFormat="false" ht="15" hidden="false" customHeight="false" outlineLevel="0" collapsed="false">
      <c r="A51" s="8" t="s">
        <v>52</v>
      </c>
      <c r="B51" s="8" t="s">
        <v>45</v>
      </c>
      <c r="C51" s="6" t="s">
        <v>169</v>
      </c>
      <c r="D51" s="6" t="s">
        <v>299</v>
      </c>
      <c r="E51" s="8" t="s">
        <v>300</v>
      </c>
      <c r="F51" s="30" t="n">
        <v>2</v>
      </c>
      <c r="G51" s="15" t="s">
        <v>389</v>
      </c>
    </row>
    <row r="52" customFormat="false" ht="15" hidden="false" customHeight="false" outlineLevel="0" collapsed="false">
      <c r="A52" s="8" t="s">
        <v>52</v>
      </c>
      <c r="B52" s="8" t="s">
        <v>45</v>
      </c>
      <c r="C52" s="6" t="s">
        <v>172</v>
      </c>
      <c r="D52" s="6" t="s">
        <v>303</v>
      </c>
      <c r="E52" s="8" t="s">
        <v>304</v>
      </c>
      <c r="F52" s="30" t="n">
        <v>2</v>
      </c>
      <c r="G52" s="15" t="s">
        <v>390</v>
      </c>
    </row>
    <row r="53" customFormat="false" ht="15" hidden="false" customHeight="false" outlineLevel="0" collapsed="false">
      <c r="A53" s="8" t="s">
        <v>52</v>
      </c>
      <c r="B53" s="8" t="s">
        <v>45</v>
      </c>
      <c r="C53" s="6" t="s">
        <v>172</v>
      </c>
      <c r="D53" s="6" t="s">
        <v>307</v>
      </c>
      <c r="E53" s="8" t="s">
        <v>308</v>
      </c>
      <c r="F53" s="30" t="n">
        <v>1</v>
      </c>
      <c r="G53" s="15" t="s">
        <v>391</v>
      </c>
    </row>
    <row r="54" customFormat="false" ht="15" hidden="false" customHeight="false" outlineLevel="0" collapsed="false">
      <c r="A54" s="8" t="s">
        <v>52</v>
      </c>
      <c r="B54" s="8" t="s">
        <v>45</v>
      </c>
      <c r="C54" s="6" t="s">
        <v>172</v>
      </c>
      <c r="D54" s="6" t="s">
        <v>311</v>
      </c>
      <c r="E54" s="8" t="s">
        <v>312</v>
      </c>
      <c r="F54" s="30" t="n">
        <v>2</v>
      </c>
      <c r="G54" s="15" t="s">
        <v>392</v>
      </c>
    </row>
    <row r="55" customFormat="false" ht="15" hidden="false" customHeight="false" outlineLevel="0" collapsed="false">
      <c r="A55" s="8" t="s">
        <v>52</v>
      </c>
      <c r="B55" s="8" t="s">
        <v>45</v>
      </c>
      <c r="C55" s="6" t="s">
        <v>172</v>
      </c>
      <c r="D55" s="6" t="s">
        <v>315</v>
      </c>
      <c r="E55" s="8" t="s">
        <v>316</v>
      </c>
      <c r="F55" s="30" t="s">
        <v>357</v>
      </c>
      <c r="G55" s="15" t="s">
        <v>393</v>
      </c>
    </row>
    <row r="56" customFormat="false" ht="15" hidden="false" customHeight="false" outlineLevel="0" collapsed="false">
      <c r="A56" s="8" t="s">
        <v>52</v>
      </c>
      <c r="B56" s="8" t="s">
        <v>45</v>
      </c>
      <c r="C56" s="6" t="s">
        <v>172</v>
      </c>
      <c r="D56" s="6" t="s">
        <v>318</v>
      </c>
      <c r="E56" s="8" t="s">
        <v>319</v>
      </c>
      <c r="F56" s="30" t="n">
        <v>2</v>
      </c>
      <c r="G56" s="15" t="s">
        <v>394</v>
      </c>
    </row>
    <row r="57" customFormat="false" ht="15" hidden="false" customHeight="false" outlineLevel="0" collapsed="false">
      <c r="A57" s="8" t="s">
        <v>52</v>
      </c>
      <c r="B57" s="8" t="s">
        <v>45</v>
      </c>
      <c r="C57" s="6" t="s">
        <v>175</v>
      </c>
      <c r="D57" s="6" t="s">
        <v>324</v>
      </c>
      <c r="E57" s="8" t="s">
        <v>325</v>
      </c>
      <c r="F57" s="30" t="n">
        <v>2</v>
      </c>
      <c r="G57" s="15" t="s">
        <v>395</v>
      </c>
    </row>
    <row r="58" customFormat="false" ht="15" hidden="false" customHeight="false" outlineLevel="0" collapsed="false">
      <c r="A58" s="8" t="s">
        <v>52</v>
      </c>
      <c r="B58" s="8" t="s">
        <v>45</v>
      </c>
      <c r="C58" s="6" t="s">
        <v>175</v>
      </c>
      <c r="D58" s="6" t="s">
        <v>329</v>
      </c>
      <c r="E58" s="8" t="s">
        <v>330</v>
      </c>
      <c r="F58" s="30" t="n">
        <v>2</v>
      </c>
      <c r="G58" s="15" t="s">
        <v>396</v>
      </c>
    </row>
    <row r="59" customFormat="false" ht="15" hidden="false" customHeight="false" outlineLevel="0" collapsed="false">
      <c r="A59" s="8" t="s">
        <v>52</v>
      </c>
      <c r="B59" s="8" t="s">
        <v>45</v>
      </c>
      <c r="C59" s="6" t="s">
        <v>175</v>
      </c>
      <c r="D59" s="6" t="s">
        <v>333</v>
      </c>
      <c r="E59" s="8" t="s">
        <v>334</v>
      </c>
      <c r="F59" s="30" t="n">
        <v>2</v>
      </c>
      <c r="G59" s="15" t="s">
        <v>397</v>
      </c>
    </row>
    <row r="60" customFormat="false" ht="15" hidden="false" customHeight="false" outlineLevel="0" collapsed="false">
      <c r="A60" s="8" t="s">
        <v>58</v>
      </c>
      <c r="B60" s="8" t="s">
        <v>45</v>
      </c>
      <c r="C60" s="6" t="s">
        <v>163</v>
      </c>
      <c r="D60" s="6" t="s">
        <v>196</v>
      </c>
      <c r="E60" s="8" t="s">
        <v>197</v>
      </c>
      <c r="F60" s="30" t="n">
        <v>2</v>
      </c>
      <c r="G60" s="15" t="s">
        <v>398</v>
      </c>
    </row>
    <row r="61" customFormat="false" ht="15" hidden="false" customHeight="false" outlineLevel="0" collapsed="false">
      <c r="A61" s="8" t="s">
        <v>58</v>
      </c>
      <c r="B61" s="8" t="s">
        <v>45</v>
      </c>
      <c r="C61" s="6" t="s">
        <v>163</v>
      </c>
      <c r="D61" s="6" t="s">
        <v>201</v>
      </c>
      <c r="E61" s="8" t="s">
        <v>202</v>
      </c>
      <c r="F61" s="30" t="n">
        <v>2</v>
      </c>
      <c r="G61" s="15" t="s">
        <v>399</v>
      </c>
    </row>
    <row r="62" customFormat="false" ht="15" hidden="false" customHeight="false" outlineLevel="0" collapsed="false">
      <c r="A62" s="8" t="s">
        <v>58</v>
      </c>
      <c r="B62" s="8" t="s">
        <v>45</v>
      </c>
      <c r="C62" s="6" t="s">
        <v>163</v>
      </c>
      <c r="D62" s="6" t="s">
        <v>207</v>
      </c>
      <c r="E62" s="8" t="s">
        <v>208</v>
      </c>
      <c r="F62" s="30" t="n">
        <v>2</v>
      </c>
      <c r="G62" s="15" t="s">
        <v>400</v>
      </c>
    </row>
    <row r="63" customFormat="false" ht="15" hidden="false" customHeight="false" outlineLevel="0" collapsed="false">
      <c r="A63" s="8" t="s">
        <v>58</v>
      </c>
      <c r="B63" s="8" t="s">
        <v>45</v>
      </c>
      <c r="C63" s="6" t="s">
        <v>163</v>
      </c>
      <c r="D63" s="6" t="s">
        <v>213</v>
      </c>
      <c r="E63" s="8" t="s">
        <v>214</v>
      </c>
      <c r="F63" s="30" t="n">
        <v>2</v>
      </c>
      <c r="G63" s="15" t="s">
        <v>401</v>
      </c>
    </row>
    <row r="64" customFormat="false" ht="15" hidden="false" customHeight="false" outlineLevel="0" collapsed="false">
      <c r="A64" s="8" t="s">
        <v>58</v>
      </c>
      <c r="B64" s="8" t="s">
        <v>45</v>
      </c>
      <c r="C64" s="6" t="s">
        <v>163</v>
      </c>
      <c r="D64" s="6" t="s">
        <v>219</v>
      </c>
      <c r="E64" s="8" t="s">
        <v>220</v>
      </c>
      <c r="F64" s="30" t="n">
        <v>2</v>
      </c>
      <c r="G64" s="15" t="s">
        <v>402</v>
      </c>
    </row>
    <row r="65" customFormat="false" ht="15" hidden="false" customHeight="false" outlineLevel="0" collapsed="false">
      <c r="A65" s="8" t="s">
        <v>58</v>
      </c>
      <c r="B65" s="8" t="s">
        <v>45</v>
      </c>
      <c r="C65" s="6" t="s">
        <v>163</v>
      </c>
      <c r="D65" s="6" t="s">
        <v>225</v>
      </c>
      <c r="E65" s="8" t="s">
        <v>226</v>
      </c>
      <c r="F65" s="30" t="n">
        <v>2</v>
      </c>
      <c r="G65" s="15" t="s">
        <v>403</v>
      </c>
    </row>
    <row r="66" customFormat="false" ht="15" hidden="false" customHeight="false" outlineLevel="0" collapsed="false">
      <c r="A66" s="8" t="s">
        <v>58</v>
      </c>
      <c r="B66" s="8" t="s">
        <v>45</v>
      </c>
      <c r="C66" s="6" t="s">
        <v>163</v>
      </c>
      <c r="D66" s="6" t="s">
        <v>230</v>
      </c>
      <c r="E66" s="8" t="s">
        <v>231</v>
      </c>
      <c r="F66" s="30" t="s">
        <v>357</v>
      </c>
      <c r="G66" s="15" t="s">
        <v>404</v>
      </c>
    </row>
    <row r="67" customFormat="false" ht="15" hidden="false" customHeight="false" outlineLevel="0" collapsed="false">
      <c r="A67" s="8" t="s">
        <v>58</v>
      </c>
      <c r="B67" s="8" t="s">
        <v>45</v>
      </c>
      <c r="C67" s="6" t="s">
        <v>163</v>
      </c>
      <c r="D67" s="6" t="s">
        <v>236</v>
      </c>
      <c r="E67" s="8" t="s">
        <v>237</v>
      </c>
      <c r="F67" s="30" t="n">
        <v>2</v>
      </c>
      <c r="G67" s="15" t="s">
        <v>405</v>
      </c>
    </row>
    <row r="68" customFormat="false" ht="15" hidden="false" customHeight="false" outlineLevel="0" collapsed="false">
      <c r="A68" s="8" t="s">
        <v>58</v>
      </c>
      <c r="B68" s="8" t="s">
        <v>45</v>
      </c>
      <c r="C68" s="6" t="s">
        <v>166</v>
      </c>
      <c r="D68" s="6" t="s">
        <v>242</v>
      </c>
      <c r="E68" s="8" t="s">
        <v>243</v>
      </c>
      <c r="F68" s="30" t="n">
        <v>2</v>
      </c>
      <c r="G68" s="15" t="s">
        <v>406</v>
      </c>
    </row>
    <row r="69" customFormat="false" ht="15" hidden="false" customHeight="false" outlineLevel="0" collapsed="false">
      <c r="A69" s="8" t="s">
        <v>58</v>
      </c>
      <c r="B69" s="8" t="s">
        <v>45</v>
      </c>
      <c r="C69" s="6" t="s">
        <v>166</v>
      </c>
      <c r="D69" s="6" t="s">
        <v>247</v>
      </c>
      <c r="E69" s="8" t="s">
        <v>248</v>
      </c>
      <c r="F69" s="30" t="n">
        <v>1</v>
      </c>
      <c r="G69" s="15" t="s">
        <v>407</v>
      </c>
    </row>
    <row r="70" customFormat="false" ht="15" hidden="false" customHeight="false" outlineLevel="0" collapsed="false">
      <c r="A70" s="8" t="s">
        <v>58</v>
      </c>
      <c r="B70" s="8" t="s">
        <v>45</v>
      </c>
      <c r="C70" s="6" t="s">
        <v>166</v>
      </c>
      <c r="D70" s="6" t="s">
        <v>252</v>
      </c>
      <c r="E70" s="8" t="s">
        <v>253</v>
      </c>
      <c r="F70" s="30" t="n">
        <v>1</v>
      </c>
      <c r="G70" s="15" t="s">
        <v>408</v>
      </c>
    </row>
    <row r="71" customFormat="false" ht="15" hidden="false" customHeight="false" outlineLevel="0" collapsed="false">
      <c r="A71" s="8" t="s">
        <v>58</v>
      </c>
      <c r="B71" s="8" t="s">
        <v>45</v>
      </c>
      <c r="C71" s="6" t="s">
        <v>166</v>
      </c>
      <c r="D71" s="6" t="s">
        <v>257</v>
      </c>
      <c r="E71" s="8" t="s">
        <v>258</v>
      </c>
      <c r="F71" s="30" t="n">
        <v>1</v>
      </c>
      <c r="G71" s="15" t="s">
        <v>409</v>
      </c>
    </row>
    <row r="72" customFormat="false" ht="15" hidden="false" customHeight="false" outlineLevel="0" collapsed="false">
      <c r="A72" s="8" t="s">
        <v>58</v>
      </c>
      <c r="B72" s="8" t="s">
        <v>45</v>
      </c>
      <c r="C72" s="6" t="s">
        <v>166</v>
      </c>
      <c r="D72" s="6" t="s">
        <v>262</v>
      </c>
      <c r="E72" s="8" t="s">
        <v>263</v>
      </c>
      <c r="F72" s="30" t="n">
        <v>2</v>
      </c>
      <c r="G72" s="15" t="s">
        <v>410</v>
      </c>
    </row>
    <row r="73" customFormat="false" ht="15" hidden="false" customHeight="false" outlineLevel="0" collapsed="false">
      <c r="A73" s="8" t="s">
        <v>58</v>
      </c>
      <c r="B73" s="8" t="s">
        <v>45</v>
      </c>
      <c r="C73" s="6" t="s">
        <v>166</v>
      </c>
      <c r="D73" s="6" t="s">
        <v>267</v>
      </c>
      <c r="E73" s="8" t="s">
        <v>268</v>
      </c>
      <c r="F73" s="30" t="n">
        <v>2</v>
      </c>
      <c r="G73" s="15" t="s">
        <v>411</v>
      </c>
    </row>
    <row r="74" customFormat="false" ht="15" hidden="false" customHeight="false" outlineLevel="0" collapsed="false">
      <c r="A74" s="8" t="s">
        <v>58</v>
      </c>
      <c r="B74" s="8" t="s">
        <v>45</v>
      </c>
      <c r="C74" s="6" t="s">
        <v>166</v>
      </c>
      <c r="D74" s="6" t="s">
        <v>272</v>
      </c>
      <c r="E74" s="8" t="s">
        <v>273</v>
      </c>
      <c r="F74" s="30" t="n">
        <v>1</v>
      </c>
      <c r="G74" s="15" t="s">
        <v>412</v>
      </c>
    </row>
    <row r="75" customFormat="false" ht="15" hidden="false" customHeight="false" outlineLevel="0" collapsed="false">
      <c r="A75" s="8" t="s">
        <v>58</v>
      </c>
      <c r="B75" s="8" t="s">
        <v>45</v>
      </c>
      <c r="C75" s="6" t="s">
        <v>166</v>
      </c>
      <c r="D75" s="6" t="s">
        <v>276</v>
      </c>
      <c r="E75" s="8" t="s">
        <v>277</v>
      </c>
      <c r="F75" s="30" t="n">
        <v>2</v>
      </c>
      <c r="G75" s="15" t="s">
        <v>413</v>
      </c>
    </row>
    <row r="76" customFormat="false" ht="15" hidden="false" customHeight="false" outlineLevel="0" collapsed="false">
      <c r="A76" s="8" t="s">
        <v>58</v>
      </c>
      <c r="B76" s="8" t="s">
        <v>45</v>
      </c>
      <c r="C76" s="6" t="s">
        <v>169</v>
      </c>
      <c r="D76" s="6" t="s">
        <v>280</v>
      </c>
      <c r="E76" s="8" t="s">
        <v>281</v>
      </c>
      <c r="F76" s="30" t="n">
        <v>2</v>
      </c>
      <c r="G76" s="15" t="s">
        <v>414</v>
      </c>
    </row>
    <row r="77" customFormat="false" ht="15" hidden="false" customHeight="false" outlineLevel="0" collapsed="false">
      <c r="A77" s="8" t="s">
        <v>58</v>
      </c>
      <c r="B77" s="8" t="s">
        <v>45</v>
      </c>
      <c r="C77" s="6" t="s">
        <v>169</v>
      </c>
      <c r="D77" s="6" t="s">
        <v>285</v>
      </c>
      <c r="E77" s="8" t="s">
        <v>286</v>
      </c>
      <c r="F77" s="30" t="n">
        <v>2</v>
      </c>
      <c r="G77" s="15" t="s">
        <v>415</v>
      </c>
    </row>
    <row r="78" customFormat="false" ht="15" hidden="false" customHeight="false" outlineLevel="0" collapsed="false">
      <c r="A78" s="8" t="s">
        <v>58</v>
      </c>
      <c r="B78" s="8" t="s">
        <v>45</v>
      </c>
      <c r="C78" s="6" t="s">
        <v>169</v>
      </c>
      <c r="D78" s="6" t="s">
        <v>290</v>
      </c>
      <c r="E78" s="8" t="s">
        <v>291</v>
      </c>
      <c r="F78" s="30" t="s">
        <v>357</v>
      </c>
      <c r="G78" s="15" t="s">
        <v>416</v>
      </c>
    </row>
    <row r="79" customFormat="false" ht="15" hidden="false" customHeight="false" outlineLevel="0" collapsed="false">
      <c r="A79" s="8" t="s">
        <v>58</v>
      </c>
      <c r="B79" s="8" t="s">
        <v>45</v>
      </c>
      <c r="C79" s="6" t="s">
        <v>169</v>
      </c>
      <c r="D79" s="6" t="s">
        <v>295</v>
      </c>
      <c r="E79" s="8" t="s">
        <v>296</v>
      </c>
      <c r="F79" s="30" t="n">
        <v>2</v>
      </c>
      <c r="G79" s="15" t="s">
        <v>417</v>
      </c>
    </row>
    <row r="80" customFormat="false" ht="15" hidden="false" customHeight="false" outlineLevel="0" collapsed="false">
      <c r="A80" s="8" t="s">
        <v>58</v>
      </c>
      <c r="B80" s="8" t="s">
        <v>45</v>
      </c>
      <c r="C80" s="6" t="s">
        <v>169</v>
      </c>
      <c r="D80" s="6" t="s">
        <v>299</v>
      </c>
      <c r="E80" s="8" t="s">
        <v>300</v>
      </c>
      <c r="F80" s="30" t="n">
        <v>2</v>
      </c>
      <c r="G80" s="15" t="s">
        <v>418</v>
      </c>
    </row>
    <row r="81" customFormat="false" ht="15" hidden="false" customHeight="false" outlineLevel="0" collapsed="false">
      <c r="A81" s="8" t="s">
        <v>58</v>
      </c>
      <c r="B81" s="8" t="s">
        <v>45</v>
      </c>
      <c r="C81" s="6" t="s">
        <v>172</v>
      </c>
      <c r="D81" s="6" t="s">
        <v>303</v>
      </c>
      <c r="E81" s="8" t="s">
        <v>304</v>
      </c>
      <c r="F81" s="30" t="n">
        <v>2</v>
      </c>
      <c r="G81" s="15" t="s">
        <v>419</v>
      </c>
    </row>
    <row r="82" customFormat="false" ht="15" hidden="false" customHeight="false" outlineLevel="0" collapsed="false">
      <c r="A82" s="8" t="s">
        <v>58</v>
      </c>
      <c r="B82" s="8" t="s">
        <v>45</v>
      </c>
      <c r="C82" s="6" t="s">
        <v>172</v>
      </c>
      <c r="D82" s="6" t="s">
        <v>307</v>
      </c>
      <c r="E82" s="8" t="s">
        <v>308</v>
      </c>
      <c r="F82" s="30" t="n">
        <v>2</v>
      </c>
      <c r="G82" s="15" t="s">
        <v>420</v>
      </c>
    </row>
    <row r="83" customFormat="false" ht="15" hidden="false" customHeight="false" outlineLevel="0" collapsed="false">
      <c r="A83" s="8" t="s">
        <v>58</v>
      </c>
      <c r="B83" s="8" t="s">
        <v>45</v>
      </c>
      <c r="C83" s="6" t="s">
        <v>172</v>
      </c>
      <c r="D83" s="6" t="s">
        <v>311</v>
      </c>
      <c r="E83" s="8" t="s">
        <v>312</v>
      </c>
      <c r="F83" s="30" t="n">
        <v>2</v>
      </c>
      <c r="G83" s="15" t="s">
        <v>421</v>
      </c>
    </row>
    <row r="84" customFormat="false" ht="15" hidden="false" customHeight="false" outlineLevel="0" collapsed="false">
      <c r="A84" s="8" t="s">
        <v>58</v>
      </c>
      <c r="B84" s="8" t="s">
        <v>45</v>
      </c>
      <c r="C84" s="6" t="s">
        <v>172</v>
      </c>
      <c r="D84" s="6" t="s">
        <v>315</v>
      </c>
      <c r="E84" s="8" t="s">
        <v>316</v>
      </c>
      <c r="F84" s="30" t="n">
        <v>2</v>
      </c>
      <c r="G84" s="15" t="s">
        <v>422</v>
      </c>
    </row>
    <row r="85" customFormat="false" ht="15" hidden="false" customHeight="false" outlineLevel="0" collapsed="false">
      <c r="A85" s="8" t="s">
        <v>58</v>
      </c>
      <c r="B85" s="8" t="s">
        <v>45</v>
      </c>
      <c r="C85" s="6" t="s">
        <v>172</v>
      </c>
      <c r="D85" s="6" t="s">
        <v>318</v>
      </c>
      <c r="E85" s="8" t="s">
        <v>319</v>
      </c>
      <c r="F85" s="30" t="n">
        <v>2</v>
      </c>
      <c r="G85" s="15" t="s">
        <v>423</v>
      </c>
    </row>
    <row r="86" customFormat="false" ht="15" hidden="false" customHeight="false" outlineLevel="0" collapsed="false">
      <c r="A86" s="8" t="s">
        <v>58</v>
      </c>
      <c r="B86" s="8" t="s">
        <v>45</v>
      </c>
      <c r="C86" s="6" t="s">
        <v>175</v>
      </c>
      <c r="D86" s="6" t="s">
        <v>324</v>
      </c>
      <c r="E86" s="8" t="s">
        <v>325</v>
      </c>
      <c r="F86" s="30" t="n">
        <v>2</v>
      </c>
      <c r="G86" s="15" t="s">
        <v>424</v>
      </c>
    </row>
    <row r="87" customFormat="false" ht="15" hidden="false" customHeight="false" outlineLevel="0" collapsed="false">
      <c r="A87" s="8" t="s">
        <v>58</v>
      </c>
      <c r="B87" s="8" t="s">
        <v>45</v>
      </c>
      <c r="C87" s="6" t="s">
        <v>175</v>
      </c>
      <c r="D87" s="6" t="s">
        <v>329</v>
      </c>
      <c r="E87" s="8" t="s">
        <v>330</v>
      </c>
      <c r="F87" s="30" t="n">
        <v>2</v>
      </c>
      <c r="G87" s="15" t="s">
        <v>425</v>
      </c>
    </row>
    <row r="88" customFormat="false" ht="15" hidden="false" customHeight="false" outlineLevel="0" collapsed="false">
      <c r="A88" s="8" t="s">
        <v>58</v>
      </c>
      <c r="B88" s="8" t="s">
        <v>45</v>
      </c>
      <c r="C88" s="6" t="s">
        <v>175</v>
      </c>
      <c r="D88" s="6" t="s">
        <v>333</v>
      </c>
      <c r="E88" s="8" t="s">
        <v>334</v>
      </c>
      <c r="F88" s="30" t="n">
        <v>1</v>
      </c>
      <c r="G88" s="15" t="s">
        <v>426</v>
      </c>
    </row>
    <row r="89" customFormat="false" ht="15" hidden="false" customHeight="false" outlineLevel="0" collapsed="false">
      <c r="A89" s="8" t="s">
        <v>64</v>
      </c>
      <c r="B89" s="8" t="s">
        <v>45</v>
      </c>
      <c r="C89" s="6" t="s">
        <v>163</v>
      </c>
      <c r="D89" s="6" t="s">
        <v>196</v>
      </c>
      <c r="E89" s="8" t="s">
        <v>197</v>
      </c>
      <c r="F89" s="30" t="n">
        <v>2</v>
      </c>
      <c r="G89" s="15" t="s">
        <v>427</v>
      </c>
    </row>
    <row r="90" customFormat="false" ht="15" hidden="false" customHeight="false" outlineLevel="0" collapsed="false">
      <c r="A90" s="8" t="s">
        <v>64</v>
      </c>
      <c r="B90" s="8" t="s">
        <v>45</v>
      </c>
      <c r="C90" s="6" t="s">
        <v>163</v>
      </c>
      <c r="D90" s="6" t="s">
        <v>201</v>
      </c>
      <c r="E90" s="8" t="s">
        <v>202</v>
      </c>
      <c r="F90" s="30" t="n">
        <v>2</v>
      </c>
      <c r="G90" s="15" t="s">
        <v>428</v>
      </c>
    </row>
    <row r="91" customFormat="false" ht="15" hidden="false" customHeight="false" outlineLevel="0" collapsed="false">
      <c r="A91" s="8" t="s">
        <v>64</v>
      </c>
      <c r="B91" s="8" t="s">
        <v>45</v>
      </c>
      <c r="C91" s="6" t="s">
        <v>163</v>
      </c>
      <c r="D91" s="6" t="s">
        <v>207</v>
      </c>
      <c r="E91" s="8" t="s">
        <v>208</v>
      </c>
      <c r="F91" s="30" t="n">
        <v>2</v>
      </c>
      <c r="G91" s="15" t="s">
        <v>429</v>
      </c>
    </row>
    <row r="92" customFormat="false" ht="15" hidden="false" customHeight="false" outlineLevel="0" collapsed="false">
      <c r="A92" s="8" t="s">
        <v>64</v>
      </c>
      <c r="B92" s="8" t="s">
        <v>45</v>
      </c>
      <c r="C92" s="6" t="s">
        <v>163</v>
      </c>
      <c r="D92" s="6" t="s">
        <v>213</v>
      </c>
      <c r="E92" s="8" t="s">
        <v>214</v>
      </c>
      <c r="F92" s="30" t="n">
        <v>1</v>
      </c>
      <c r="G92" s="15" t="s">
        <v>430</v>
      </c>
    </row>
    <row r="93" customFormat="false" ht="15" hidden="false" customHeight="false" outlineLevel="0" collapsed="false">
      <c r="A93" s="8" t="s">
        <v>64</v>
      </c>
      <c r="B93" s="8" t="s">
        <v>45</v>
      </c>
      <c r="C93" s="6" t="s">
        <v>163</v>
      </c>
      <c r="D93" s="6" t="s">
        <v>219</v>
      </c>
      <c r="E93" s="8" t="s">
        <v>220</v>
      </c>
      <c r="F93" s="30" t="s">
        <v>357</v>
      </c>
      <c r="G93" s="15" t="s">
        <v>431</v>
      </c>
    </row>
    <row r="94" customFormat="false" ht="15" hidden="false" customHeight="false" outlineLevel="0" collapsed="false">
      <c r="A94" s="8" t="s">
        <v>64</v>
      </c>
      <c r="B94" s="8" t="s">
        <v>45</v>
      </c>
      <c r="C94" s="6" t="s">
        <v>163</v>
      </c>
      <c r="D94" s="6" t="s">
        <v>225</v>
      </c>
      <c r="E94" s="8" t="s">
        <v>226</v>
      </c>
      <c r="F94" s="30" t="s">
        <v>357</v>
      </c>
      <c r="G94" s="15" t="s">
        <v>432</v>
      </c>
    </row>
    <row r="95" customFormat="false" ht="15" hidden="false" customHeight="false" outlineLevel="0" collapsed="false">
      <c r="A95" s="8" t="s">
        <v>64</v>
      </c>
      <c r="B95" s="8" t="s">
        <v>45</v>
      </c>
      <c r="C95" s="6" t="s">
        <v>163</v>
      </c>
      <c r="D95" s="6" t="s">
        <v>230</v>
      </c>
      <c r="E95" s="8" t="s">
        <v>231</v>
      </c>
      <c r="F95" s="30" t="s">
        <v>357</v>
      </c>
      <c r="G95" s="15" t="s">
        <v>404</v>
      </c>
    </row>
    <row r="96" customFormat="false" ht="15" hidden="false" customHeight="false" outlineLevel="0" collapsed="false">
      <c r="A96" s="8" t="s">
        <v>64</v>
      </c>
      <c r="B96" s="8" t="s">
        <v>45</v>
      </c>
      <c r="C96" s="6" t="s">
        <v>163</v>
      </c>
      <c r="D96" s="6" t="s">
        <v>236</v>
      </c>
      <c r="E96" s="8" t="s">
        <v>237</v>
      </c>
      <c r="F96" s="30" t="n">
        <v>2</v>
      </c>
      <c r="G96" s="15" t="s">
        <v>433</v>
      </c>
    </row>
    <row r="97" customFormat="false" ht="15" hidden="false" customHeight="false" outlineLevel="0" collapsed="false">
      <c r="A97" s="8" t="s">
        <v>64</v>
      </c>
      <c r="B97" s="8" t="s">
        <v>45</v>
      </c>
      <c r="C97" s="6" t="s">
        <v>166</v>
      </c>
      <c r="D97" s="6" t="s">
        <v>242</v>
      </c>
      <c r="E97" s="8" t="s">
        <v>243</v>
      </c>
      <c r="F97" s="30" t="n">
        <v>2</v>
      </c>
      <c r="G97" s="15" t="s">
        <v>434</v>
      </c>
    </row>
    <row r="98" customFormat="false" ht="15" hidden="false" customHeight="false" outlineLevel="0" collapsed="false">
      <c r="A98" s="8" t="s">
        <v>64</v>
      </c>
      <c r="B98" s="8" t="s">
        <v>45</v>
      </c>
      <c r="C98" s="6" t="s">
        <v>166</v>
      </c>
      <c r="D98" s="6" t="s">
        <v>247</v>
      </c>
      <c r="E98" s="8" t="s">
        <v>248</v>
      </c>
      <c r="F98" s="30" t="n">
        <v>2</v>
      </c>
      <c r="G98" s="15" t="s">
        <v>435</v>
      </c>
    </row>
    <row r="99" customFormat="false" ht="15" hidden="false" customHeight="false" outlineLevel="0" collapsed="false">
      <c r="A99" s="8" t="s">
        <v>64</v>
      </c>
      <c r="B99" s="8" t="s">
        <v>45</v>
      </c>
      <c r="C99" s="6" t="s">
        <v>166</v>
      </c>
      <c r="D99" s="6" t="s">
        <v>252</v>
      </c>
      <c r="E99" s="8" t="s">
        <v>253</v>
      </c>
      <c r="F99" s="30" t="n">
        <v>2</v>
      </c>
      <c r="G99" s="15" t="s">
        <v>436</v>
      </c>
    </row>
    <row r="100" customFormat="false" ht="15" hidden="false" customHeight="false" outlineLevel="0" collapsed="false">
      <c r="A100" s="8" t="s">
        <v>64</v>
      </c>
      <c r="B100" s="8" t="s">
        <v>45</v>
      </c>
      <c r="C100" s="6" t="s">
        <v>166</v>
      </c>
      <c r="D100" s="6" t="s">
        <v>257</v>
      </c>
      <c r="E100" s="8" t="s">
        <v>258</v>
      </c>
      <c r="F100" s="30" t="n">
        <v>2</v>
      </c>
      <c r="G100" s="15" t="s">
        <v>437</v>
      </c>
    </row>
    <row r="101" customFormat="false" ht="15" hidden="false" customHeight="false" outlineLevel="0" collapsed="false">
      <c r="A101" s="8" t="s">
        <v>64</v>
      </c>
      <c r="B101" s="8" t="s">
        <v>45</v>
      </c>
      <c r="C101" s="6" t="s">
        <v>166</v>
      </c>
      <c r="D101" s="6" t="s">
        <v>262</v>
      </c>
      <c r="E101" s="8" t="s">
        <v>263</v>
      </c>
      <c r="F101" s="30" t="n">
        <v>2</v>
      </c>
      <c r="G101" s="15" t="s">
        <v>438</v>
      </c>
    </row>
    <row r="102" customFormat="false" ht="15" hidden="false" customHeight="false" outlineLevel="0" collapsed="false">
      <c r="A102" s="8" t="s">
        <v>64</v>
      </c>
      <c r="B102" s="8" t="s">
        <v>45</v>
      </c>
      <c r="C102" s="6" t="s">
        <v>166</v>
      </c>
      <c r="D102" s="6" t="s">
        <v>267</v>
      </c>
      <c r="E102" s="8" t="s">
        <v>268</v>
      </c>
      <c r="F102" s="30" t="n">
        <v>1</v>
      </c>
      <c r="G102" s="15" t="s">
        <v>439</v>
      </c>
    </row>
    <row r="103" customFormat="false" ht="15" hidden="false" customHeight="false" outlineLevel="0" collapsed="false">
      <c r="A103" s="8" t="s">
        <v>64</v>
      </c>
      <c r="B103" s="8" t="s">
        <v>45</v>
      </c>
      <c r="C103" s="6" t="s">
        <v>166</v>
      </c>
      <c r="D103" s="6" t="s">
        <v>272</v>
      </c>
      <c r="E103" s="8" t="s">
        <v>273</v>
      </c>
      <c r="F103" s="30" t="n">
        <v>1</v>
      </c>
      <c r="G103" s="15" t="s">
        <v>440</v>
      </c>
    </row>
    <row r="104" customFormat="false" ht="15" hidden="false" customHeight="false" outlineLevel="0" collapsed="false">
      <c r="A104" s="8" t="s">
        <v>64</v>
      </c>
      <c r="B104" s="8" t="s">
        <v>45</v>
      </c>
      <c r="C104" s="6" t="s">
        <v>166</v>
      </c>
      <c r="D104" s="6" t="s">
        <v>276</v>
      </c>
      <c r="E104" s="8" t="s">
        <v>277</v>
      </c>
      <c r="F104" s="30" t="n">
        <v>2</v>
      </c>
      <c r="G104" s="15" t="s">
        <v>441</v>
      </c>
    </row>
    <row r="105" customFormat="false" ht="15" hidden="false" customHeight="false" outlineLevel="0" collapsed="false">
      <c r="A105" s="8" t="s">
        <v>64</v>
      </c>
      <c r="B105" s="8" t="s">
        <v>45</v>
      </c>
      <c r="C105" s="6" t="s">
        <v>169</v>
      </c>
      <c r="D105" s="6" t="s">
        <v>280</v>
      </c>
      <c r="E105" s="8" t="s">
        <v>281</v>
      </c>
      <c r="F105" s="30" t="n">
        <v>2</v>
      </c>
      <c r="G105" s="15" t="s">
        <v>442</v>
      </c>
    </row>
    <row r="106" customFormat="false" ht="15" hidden="false" customHeight="false" outlineLevel="0" collapsed="false">
      <c r="A106" s="8" t="s">
        <v>64</v>
      </c>
      <c r="B106" s="8" t="s">
        <v>45</v>
      </c>
      <c r="C106" s="6" t="s">
        <v>169</v>
      </c>
      <c r="D106" s="6" t="s">
        <v>285</v>
      </c>
      <c r="E106" s="8" t="s">
        <v>286</v>
      </c>
      <c r="F106" s="30" t="n">
        <v>2</v>
      </c>
      <c r="G106" s="15" t="s">
        <v>443</v>
      </c>
    </row>
    <row r="107" customFormat="false" ht="15" hidden="false" customHeight="false" outlineLevel="0" collapsed="false">
      <c r="A107" s="8" t="s">
        <v>64</v>
      </c>
      <c r="B107" s="8" t="s">
        <v>45</v>
      </c>
      <c r="C107" s="6" t="s">
        <v>169</v>
      </c>
      <c r="D107" s="6" t="s">
        <v>290</v>
      </c>
      <c r="E107" s="8" t="s">
        <v>291</v>
      </c>
      <c r="F107" s="30" t="s">
        <v>357</v>
      </c>
      <c r="G107" s="15" t="s">
        <v>444</v>
      </c>
    </row>
    <row r="108" customFormat="false" ht="15" hidden="false" customHeight="false" outlineLevel="0" collapsed="false">
      <c r="A108" s="8" t="s">
        <v>64</v>
      </c>
      <c r="B108" s="8" t="s">
        <v>45</v>
      </c>
      <c r="C108" s="6" t="s">
        <v>169</v>
      </c>
      <c r="D108" s="6" t="s">
        <v>295</v>
      </c>
      <c r="E108" s="8" t="s">
        <v>296</v>
      </c>
      <c r="F108" s="30" t="n">
        <v>2</v>
      </c>
      <c r="G108" s="15" t="s">
        <v>445</v>
      </c>
    </row>
    <row r="109" customFormat="false" ht="15" hidden="false" customHeight="false" outlineLevel="0" collapsed="false">
      <c r="A109" s="8" t="s">
        <v>64</v>
      </c>
      <c r="B109" s="8" t="s">
        <v>45</v>
      </c>
      <c r="C109" s="6" t="s">
        <v>169</v>
      </c>
      <c r="D109" s="6" t="s">
        <v>299</v>
      </c>
      <c r="E109" s="8" t="s">
        <v>300</v>
      </c>
      <c r="F109" s="30" t="n">
        <v>1</v>
      </c>
      <c r="G109" s="15" t="s">
        <v>446</v>
      </c>
    </row>
    <row r="110" customFormat="false" ht="15" hidden="false" customHeight="false" outlineLevel="0" collapsed="false">
      <c r="A110" s="8" t="s">
        <v>64</v>
      </c>
      <c r="B110" s="8" t="s">
        <v>45</v>
      </c>
      <c r="C110" s="6" t="s">
        <v>172</v>
      </c>
      <c r="D110" s="6" t="s">
        <v>303</v>
      </c>
      <c r="E110" s="8" t="s">
        <v>304</v>
      </c>
      <c r="F110" s="30" t="n">
        <v>2</v>
      </c>
      <c r="G110" s="15" t="s">
        <v>447</v>
      </c>
    </row>
    <row r="111" customFormat="false" ht="15" hidden="false" customHeight="false" outlineLevel="0" collapsed="false">
      <c r="A111" s="8" t="s">
        <v>64</v>
      </c>
      <c r="B111" s="8" t="s">
        <v>45</v>
      </c>
      <c r="C111" s="6" t="s">
        <v>172</v>
      </c>
      <c r="D111" s="6" t="s">
        <v>307</v>
      </c>
      <c r="E111" s="8" t="s">
        <v>308</v>
      </c>
      <c r="F111" s="30" t="n">
        <v>2</v>
      </c>
      <c r="G111" s="15" t="s">
        <v>448</v>
      </c>
    </row>
    <row r="112" customFormat="false" ht="15" hidden="false" customHeight="false" outlineLevel="0" collapsed="false">
      <c r="A112" s="8" t="s">
        <v>64</v>
      </c>
      <c r="B112" s="8" t="s">
        <v>45</v>
      </c>
      <c r="C112" s="6" t="s">
        <v>172</v>
      </c>
      <c r="D112" s="6" t="s">
        <v>311</v>
      </c>
      <c r="E112" s="8" t="s">
        <v>312</v>
      </c>
      <c r="F112" s="30" t="n">
        <v>2</v>
      </c>
      <c r="G112" s="15" t="s">
        <v>449</v>
      </c>
    </row>
    <row r="113" customFormat="false" ht="15" hidden="false" customHeight="false" outlineLevel="0" collapsed="false">
      <c r="A113" s="8" t="s">
        <v>64</v>
      </c>
      <c r="B113" s="8" t="s">
        <v>45</v>
      </c>
      <c r="C113" s="6" t="s">
        <v>172</v>
      </c>
      <c r="D113" s="6" t="s">
        <v>315</v>
      </c>
      <c r="E113" s="8" t="s">
        <v>316</v>
      </c>
      <c r="F113" s="30" t="n">
        <v>2</v>
      </c>
      <c r="G113" s="15" t="s">
        <v>450</v>
      </c>
    </row>
    <row r="114" customFormat="false" ht="15" hidden="false" customHeight="false" outlineLevel="0" collapsed="false">
      <c r="A114" s="8" t="s">
        <v>64</v>
      </c>
      <c r="B114" s="8" t="s">
        <v>45</v>
      </c>
      <c r="C114" s="6" t="s">
        <v>172</v>
      </c>
      <c r="D114" s="6" t="s">
        <v>318</v>
      </c>
      <c r="E114" s="8" t="s">
        <v>319</v>
      </c>
      <c r="F114" s="30" t="n">
        <v>2</v>
      </c>
      <c r="G114" s="15" t="s">
        <v>451</v>
      </c>
    </row>
    <row r="115" customFormat="false" ht="15" hidden="false" customHeight="false" outlineLevel="0" collapsed="false">
      <c r="A115" s="8" t="s">
        <v>64</v>
      </c>
      <c r="B115" s="8" t="s">
        <v>45</v>
      </c>
      <c r="C115" s="6" t="s">
        <v>175</v>
      </c>
      <c r="D115" s="6" t="s">
        <v>324</v>
      </c>
      <c r="E115" s="8" t="s">
        <v>325</v>
      </c>
      <c r="F115" s="30" t="n">
        <v>1</v>
      </c>
      <c r="G115" s="15" t="s">
        <v>452</v>
      </c>
    </row>
    <row r="116" customFormat="false" ht="15" hidden="false" customHeight="false" outlineLevel="0" collapsed="false">
      <c r="A116" s="8" t="s">
        <v>64</v>
      </c>
      <c r="B116" s="8" t="s">
        <v>45</v>
      </c>
      <c r="C116" s="6" t="s">
        <v>175</v>
      </c>
      <c r="D116" s="6" t="s">
        <v>329</v>
      </c>
      <c r="E116" s="8" t="s">
        <v>330</v>
      </c>
      <c r="F116" s="30" t="n">
        <v>2</v>
      </c>
      <c r="G116" s="15" t="s">
        <v>453</v>
      </c>
    </row>
    <row r="117" customFormat="false" ht="15" hidden="false" customHeight="false" outlineLevel="0" collapsed="false">
      <c r="A117" s="8" t="s">
        <v>64</v>
      </c>
      <c r="B117" s="8" t="s">
        <v>45</v>
      </c>
      <c r="C117" s="6" t="s">
        <v>175</v>
      </c>
      <c r="D117" s="6" t="s">
        <v>333</v>
      </c>
      <c r="E117" s="8" t="s">
        <v>334</v>
      </c>
      <c r="F117" s="30" t="n">
        <v>2</v>
      </c>
      <c r="G117" s="15" t="s">
        <v>454</v>
      </c>
    </row>
    <row r="118" customFormat="false" ht="15" hidden="false" customHeight="false" outlineLevel="0" collapsed="false">
      <c r="A118" s="8" t="s">
        <v>68</v>
      </c>
      <c r="B118" s="8" t="s">
        <v>45</v>
      </c>
      <c r="C118" s="6" t="s">
        <v>163</v>
      </c>
      <c r="D118" s="6" t="s">
        <v>196</v>
      </c>
      <c r="E118" s="8" t="s">
        <v>197</v>
      </c>
      <c r="F118" s="30" t="n">
        <v>2</v>
      </c>
      <c r="G118" s="15" t="s">
        <v>455</v>
      </c>
    </row>
    <row r="119" customFormat="false" ht="28.35" hidden="false" customHeight="false" outlineLevel="0" collapsed="false">
      <c r="A119" s="8" t="s">
        <v>68</v>
      </c>
      <c r="B119" s="8" t="s">
        <v>45</v>
      </c>
      <c r="C119" s="6" t="s">
        <v>163</v>
      </c>
      <c r="D119" s="6" t="s">
        <v>201</v>
      </c>
      <c r="E119" s="8" t="s">
        <v>202</v>
      </c>
      <c r="F119" s="30" t="n">
        <v>2</v>
      </c>
      <c r="G119" s="15" t="s">
        <v>456</v>
      </c>
    </row>
    <row r="120" customFormat="false" ht="28.35" hidden="false" customHeight="false" outlineLevel="0" collapsed="false">
      <c r="A120" s="8" t="s">
        <v>68</v>
      </c>
      <c r="B120" s="8" t="s">
        <v>45</v>
      </c>
      <c r="C120" s="6" t="s">
        <v>163</v>
      </c>
      <c r="D120" s="6" t="s">
        <v>207</v>
      </c>
      <c r="E120" s="8" t="s">
        <v>208</v>
      </c>
      <c r="F120" s="30" t="n">
        <v>2</v>
      </c>
      <c r="G120" s="15" t="s">
        <v>457</v>
      </c>
    </row>
    <row r="121" customFormat="false" ht="28.35" hidden="false" customHeight="false" outlineLevel="0" collapsed="false">
      <c r="A121" s="8" t="s">
        <v>68</v>
      </c>
      <c r="B121" s="8" t="s">
        <v>45</v>
      </c>
      <c r="C121" s="6" t="s">
        <v>163</v>
      </c>
      <c r="D121" s="6" t="s">
        <v>213</v>
      </c>
      <c r="E121" s="8" t="s">
        <v>214</v>
      </c>
      <c r="F121" s="30" t="n">
        <v>2</v>
      </c>
      <c r="G121" s="15" t="s">
        <v>458</v>
      </c>
    </row>
    <row r="122" customFormat="false" ht="15" hidden="false" customHeight="false" outlineLevel="0" collapsed="false">
      <c r="A122" s="8" t="s">
        <v>68</v>
      </c>
      <c r="B122" s="8" t="s">
        <v>45</v>
      </c>
      <c r="C122" s="6" t="s">
        <v>163</v>
      </c>
      <c r="D122" s="6" t="s">
        <v>219</v>
      </c>
      <c r="E122" s="8" t="s">
        <v>220</v>
      </c>
      <c r="F122" s="30" t="n">
        <v>2</v>
      </c>
      <c r="G122" s="15" t="s">
        <v>459</v>
      </c>
    </row>
    <row r="123" customFormat="false" ht="15" hidden="false" customHeight="false" outlineLevel="0" collapsed="false">
      <c r="A123" s="8" t="s">
        <v>68</v>
      </c>
      <c r="B123" s="8" t="s">
        <v>45</v>
      </c>
      <c r="C123" s="6" t="s">
        <v>163</v>
      </c>
      <c r="D123" s="6" t="s">
        <v>225</v>
      </c>
      <c r="E123" s="8" t="s">
        <v>226</v>
      </c>
      <c r="F123" s="30" t="n">
        <v>2</v>
      </c>
      <c r="G123" s="15" t="s">
        <v>460</v>
      </c>
    </row>
    <row r="124" customFormat="false" ht="15" hidden="false" customHeight="false" outlineLevel="0" collapsed="false">
      <c r="A124" s="8" t="s">
        <v>68</v>
      </c>
      <c r="B124" s="8" t="s">
        <v>45</v>
      </c>
      <c r="C124" s="6" t="s">
        <v>163</v>
      </c>
      <c r="D124" s="6" t="s">
        <v>230</v>
      </c>
      <c r="E124" s="8" t="s">
        <v>231</v>
      </c>
      <c r="F124" s="30" t="s">
        <v>357</v>
      </c>
      <c r="G124" s="15" t="s">
        <v>461</v>
      </c>
    </row>
    <row r="125" customFormat="false" ht="28.35" hidden="false" customHeight="false" outlineLevel="0" collapsed="false">
      <c r="A125" s="8" t="s">
        <v>68</v>
      </c>
      <c r="B125" s="8" t="s">
        <v>45</v>
      </c>
      <c r="C125" s="6" t="s">
        <v>163</v>
      </c>
      <c r="D125" s="6" t="s">
        <v>236</v>
      </c>
      <c r="E125" s="8" t="s">
        <v>237</v>
      </c>
      <c r="F125" s="30" t="n">
        <v>2</v>
      </c>
      <c r="G125" s="15" t="s">
        <v>462</v>
      </c>
    </row>
    <row r="126" customFormat="false" ht="15" hidden="false" customHeight="false" outlineLevel="0" collapsed="false">
      <c r="A126" s="8" t="s">
        <v>68</v>
      </c>
      <c r="B126" s="8" t="s">
        <v>45</v>
      </c>
      <c r="C126" s="6" t="s">
        <v>166</v>
      </c>
      <c r="D126" s="6" t="s">
        <v>242</v>
      </c>
      <c r="E126" s="8" t="s">
        <v>243</v>
      </c>
      <c r="F126" s="30" t="n">
        <v>2</v>
      </c>
      <c r="G126" s="15" t="s">
        <v>463</v>
      </c>
    </row>
    <row r="127" customFormat="false" ht="28.35" hidden="false" customHeight="false" outlineLevel="0" collapsed="false">
      <c r="A127" s="8" t="s">
        <v>68</v>
      </c>
      <c r="B127" s="8" t="s">
        <v>45</v>
      </c>
      <c r="C127" s="6" t="s">
        <v>166</v>
      </c>
      <c r="D127" s="6" t="s">
        <v>247</v>
      </c>
      <c r="E127" s="8" t="s">
        <v>248</v>
      </c>
      <c r="F127" s="30" t="n">
        <v>2</v>
      </c>
      <c r="G127" s="15" t="s">
        <v>464</v>
      </c>
    </row>
    <row r="128" customFormat="false" ht="15" hidden="false" customHeight="false" outlineLevel="0" collapsed="false">
      <c r="A128" s="8" t="s">
        <v>68</v>
      </c>
      <c r="B128" s="8" t="s">
        <v>45</v>
      </c>
      <c r="C128" s="6" t="s">
        <v>166</v>
      </c>
      <c r="D128" s="6" t="s">
        <v>252</v>
      </c>
      <c r="E128" s="8" t="s">
        <v>253</v>
      </c>
      <c r="F128" s="30" t="n">
        <v>2</v>
      </c>
      <c r="G128" s="15" t="s">
        <v>465</v>
      </c>
    </row>
    <row r="129" customFormat="false" ht="15" hidden="false" customHeight="false" outlineLevel="0" collapsed="false">
      <c r="A129" s="8" t="s">
        <v>68</v>
      </c>
      <c r="B129" s="8" t="s">
        <v>45</v>
      </c>
      <c r="C129" s="6" t="s">
        <v>166</v>
      </c>
      <c r="D129" s="6" t="s">
        <v>257</v>
      </c>
      <c r="E129" s="8" t="s">
        <v>258</v>
      </c>
      <c r="F129" s="30" t="n">
        <v>1</v>
      </c>
      <c r="G129" s="15" t="s">
        <v>466</v>
      </c>
    </row>
    <row r="130" customFormat="false" ht="15" hidden="false" customHeight="false" outlineLevel="0" collapsed="false">
      <c r="A130" s="8" t="s">
        <v>68</v>
      </c>
      <c r="B130" s="8" t="s">
        <v>45</v>
      </c>
      <c r="C130" s="6" t="s">
        <v>166</v>
      </c>
      <c r="D130" s="6" t="s">
        <v>262</v>
      </c>
      <c r="E130" s="8" t="s">
        <v>263</v>
      </c>
      <c r="F130" s="30" t="n">
        <v>2</v>
      </c>
      <c r="G130" s="15" t="s">
        <v>467</v>
      </c>
    </row>
    <row r="131" customFormat="false" ht="15" hidden="false" customHeight="false" outlineLevel="0" collapsed="false">
      <c r="A131" s="8" t="s">
        <v>68</v>
      </c>
      <c r="B131" s="8" t="s">
        <v>45</v>
      </c>
      <c r="C131" s="6" t="s">
        <v>166</v>
      </c>
      <c r="D131" s="6" t="s">
        <v>267</v>
      </c>
      <c r="E131" s="8" t="s">
        <v>268</v>
      </c>
      <c r="F131" s="30" t="n">
        <v>2</v>
      </c>
      <c r="G131" s="15" t="s">
        <v>468</v>
      </c>
    </row>
    <row r="132" customFormat="false" ht="15" hidden="false" customHeight="false" outlineLevel="0" collapsed="false">
      <c r="A132" s="8" t="s">
        <v>68</v>
      </c>
      <c r="B132" s="8" t="s">
        <v>45</v>
      </c>
      <c r="C132" s="6" t="s">
        <v>166</v>
      </c>
      <c r="D132" s="6" t="s">
        <v>272</v>
      </c>
      <c r="E132" s="8" t="s">
        <v>273</v>
      </c>
      <c r="F132" s="30" t="n">
        <v>1</v>
      </c>
      <c r="G132" s="15" t="s">
        <v>469</v>
      </c>
    </row>
    <row r="133" customFormat="false" ht="15" hidden="false" customHeight="false" outlineLevel="0" collapsed="false">
      <c r="A133" s="8" t="s">
        <v>68</v>
      </c>
      <c r="B133" s="8" t="s">
        <v>45</v>
      </c>
      <c r="C133" s="6" t="s">
        <v>166</v>
      </c>
      <c r="D133" s="6" t="s">
        <v>276</v>
      </c>
      <c r="E133" s="8" t="s">
        <v>277</v>
      </c>
      <c r="F133" s="30" t="n">
        <v>1</v>
      </c>
      <c r="G133" s="15" t="s">
        <v>470</v>
      </c>
    </row>
    <row r="134" customFormat="false" ht="28.35" hidden="false" customHeight="false" outlineLevel="0" collapsed="false">
      <c r="A134" s="8" t="s">
        <v>68</v>
      </c>
      <c r="B134" s="8" t="s">
        <v>45</v>
      </c>
      <c r="C134" s="6" t="s">
        <v>169</v>
      </c>
      <c r="D134" s="6" t="s">
        <v>280</v>
      </c>
      <c r="E134" s="8" t="s">
        <v>281</v>
      </c>
      <c r="F134" s="30" t="s">
        <v>357</v>
      </c>
      <c r="G134" s="15" t="s">
        <v>471</v>
      </c>
    </row>
    <row r="135" customFormat="false" ht="28.35" hidden="false" customHeight="false" outlineLevel="0" collapsed="false">
      <c r="A135" s="8" t="s">
        <v>68</v>
      </c>
      <c r="B135" s="8" t="s">
        <v>45</v>
      </c>
      <c r="C135" s="6" t="s">
        <v>169</v>
      </c>
      <c r="D135" s="6" t="s">
        <v>285</v>
      </c>
      <c r="E135" s="8" t="s">
        <v>286</v>
      </c>
      <c r="F135" s="30" t="n">
        <v>1</v>
      </c>
      <c r="G135" s="15" t="s">
        <v>472</v>
      </c>
    </row>
    <row r="136" customFormat="false" ht="15" hidden="false" customHeight="false" outlineLevel="0" collapsed="false">
      <c r="A136" s="8" t="s">
        <v>68</v>
      </c>
      <c r="B136" s="8" t="s">
        <v>45</v>
      </c>
      <c r="C136" s="6" t="s">
        <v>169</v>
      </c>
      <c r="D136" s="6" t="s">
        <v>290</v>
      </c>
      <c r="E136" s="8" t="s">
        <v>291</v>
      </c>
      <c r="F136" s="30" t="s">
        <v>357</v>
      </c>
      <c r="G136" s="15" t="s">
        <v>473</v>
      </c>
    </row>
    <row r="137" customFormat="false" ht="15" hidden="false" customHeight="false" outlineLevel="0" collapsed="false">
      <c r="A137" s="8" t="s">
        <v>68</v>
      </c>
      <c r="B137" s="8" t="s">
        <v>45</v>
      </c>
      <c r="C137" s="6" t="s">
        <v>169</v>
      </c>
      <c r="D137" s="6" t="s">
        <v>295</v>
      </c>
      <c r="E137" s="8" t="s">
        <v>296</v>
      </c>
      <c r="F137" s="30" t="n">
        <v>2</v>
      </c>
      <c r="G137" s="15" t="s">
        <v>474</v>
      </c>
    </row>
    <row r="138" customFormat="false" ht="15" hidden="false" customHeight="false" outlineLevel="0" collapsed="false">
      <c r="A138" s="8" t="s">
        <v>68</v>
      </c>
      <c r="B138" s="8" t="s">
        <v>45</v>
      </c>
      <c r="C138" s="6" t="s">
        <v>169</v>
      </c>
      <c r="D138" s="6" t="s">
        <v>299</v>
      </c>
      <c r="E138" s="8" t="s">
        <v>300</v>
      </c>
      <c r="F138" s="30" t="n">
        <v>2</v>
      </c>
      <c r="G138" s="15" t="s">
        <v>475</v>
      </c>
    </row>
    <row r="139" customFormat="false" ht="28.35" hidden="false" customHeight="false" outlineLevel="0" collapsed="false">
      <c r="A139" s="8" t="s">
        <v>68</v>
      </c>
      <c r="B139" s="8" t="s">
        <v>45</v>
      </c>
      <c r="C139" s="6" t="s">
        <v>172</v>
      </c>
      <c r="D139" s="6" t="s">
        <v>303</v>
      </c>
      <c r="E139" s="8" t="s">
        <v>304</v>
      </c>
      <c r="F139" s="30" t="n">
        <v>2</v>
      </c>
      <c r="G139" s="15" t="s">
        <v>476</v>
      </c>
    </row>
    <row r="140" customFormat="false" ht="15" hidden="false" customHeight="false" outlineLevel="0" collapsed="false">
      <c r="A140" s="8" t="s">
        <v>68</v>
      </c>
      <c r="B140" s="8" t="s">
        <v>45</v>
      </c>
      <c r="C140" s="6" t="s">
        <v>172</v>
      </c>
      <c r="D140" s="6" t="s">
        <v>307</v>
      </c>
      <c r="E140" s="8" t="s">
        <v>308</v>
      </c>
      <c r="F140" s="30" t="n">
        <v>2</v>
      </c>
      <c r="G140" s="15" t="s">
        <v>477</v>
      </c>
    </row>
    <row r="141" customFormat="false" ht="15" hidden="false" customHeight="false" outlineLevel="0" collapsed="false">
      <c r="A141" s="8" t="s">
        <v>68</v>
      </c>
      <c r="B141" s="8" t="s">
        <v>45</v>
      </c>
      <c r="C141" s="6" t="s">
        <v>172</v>
      </c>
      <c r="D141" s="6" t="s">
        <v>311</v>
      </c>
      <c r="E141" s="8" t="s">
        <v>312</v>
      </c>
      <c r="F141" s="30" t="n">
        <v>2</v>
      </c>
      <c r="G141" s="15" t="s">
        <v>478</v>
      </c>
    </row>
    <row r="142" customFormat="false" ht="15" hidden="false" customHeight="false" outlineLevel="0" collapsed="false">
      <c r="A142" s="8" t="s">
        <v>68</v>
      </c>
      <c r="B142" s="8" t="s">
        <v>45</v>
      </c>
      <c r="C142" s="6" t="s">
        <v>172</v>
      </c>
      <c r="D142" s="6" t="s">
        <v>315</v>
      </c>
      <c r="E142" s="8" t="s">
        <v>316</v>
      </c>
      <c r="F142" s="30" t="s">
        <v>357</v>
      </c>
      <c r="G142" s="15" t="s">
        <v>479</v>
      </c>
    </row>
    <row r="143" customFormat="false" ht="15" hidden="false" customHeight="false" outlineLevel="0" collapsed="false">
      <c r="A143" s="8" t="s">
        <v>68</v>
      </c>
      <c r="B143" s="8" t="s">
        <v>45</v>
      </c>
      <c r="C143" s="6" t="s">
        <v>172</v>
      </c>
      <c r="D143" s="6" t="s">
        <v>318</v>
      </c>
      <c r="E143" s="8" t="s">
        <v>319</v>
      </c>
      <c r="F143" s="30" t="n">
        <v>2</v>
      </c>
      <c r="G143" s="15" t="s">
        <v>480</v>
      </c>
    </row>
    <row r="144" customFormat="false" ht="15" hidden="false" customHeight="false" outlineLevel="0" collapsed="false">
      <c r="A144" s="8" t="s">
        <v>68</v>
      </c>
      <c r="B144" s="8" t="s">
        <v>45</v>
      </c>
      <c r="C144" s="6" t="s">
        <v>175</v>
      </c>
      <c r="D144" s="6" t="s">
        <v>324</v>
      </c>
      <c r="E144" s="8" t="s">
        <v>325</v>
      </c>
      <c r="F144" s="30" t="n">
        <v>1</v>
      </c>
      <c r="G144" s="15" t="s">
        <v>481</v>
      </c>
    </row>
    <row r="145" customFormat="false" ht="28.35" hidden="false" customHeight="false" outlineLevel="0" collapsed="false">
      <c r="A145" s="8" t="s">
        <v>68</v>
      </c>
      <c r="B145" s="8" t="s">
        <v>45</v>
      </c>
      <c r="C145" s="6" t="s">
        <v>175</v>
      </c>
      <c r="D145" s="6" t="s">
        <v>329</v>
      </c>
      <c r="E145" s="8" t="s">
        <v>330</v>
      </c>
      <c r="F145" s="30" t="n">
        <v>2</v>
      </c>
      <c r="G145" s="15" t="s">
        <v>482</v>
      </c>
    </row>
    <row r="146" customFormat="false" ht="15" hidden="false" customHeight="false" outlineLevel="0" collapsed="false">
      <c r="A146" s="8" t="s">
        <v>68</v>
      </c>
      <c r="B146" s="8" t="s">
        <v>45</v>
      </c>
      <c r="C146" s="6" t="s">
        <v>175</v>
      </c>
      <c r="D146" s="6" t="s">
        <v>333</v>
      </c>
      <c r="E146" s="8" t="s">
        <v>334</v>
      </c>
      <c r="F146" s="30" t="s">
        <v>357</v>
      </c>
      <c r="G146" s="15" t="s">
        <v>483</v>
      </c>
    </row>
    <row r="147" customFormat="false" ht="15" hidden="false" customHeight="false" outlineLevel="0" collapsed="false">
      <c r="A147" s="8" t="s">
        <v>73</v>
      </c>
      <c r="B147" s="8" t="s">
        <v>45</v>
      </c>
      <c r="C147" s="6" t="s">
        <v>163</v>
      </c>
      <c r="D147" s="6" t="s">
        <v>196</v>
      </c>
      <c r="E147" s="8" t="s">
        <v>197</v>
      </c>
      <c r="F147" s="30" t="n">
        <v>2</v>
      </c>
      <c r="G147" s="15" t="s">
        <v>484</v>
      </c>
    </row>
    <row r="148" customFormat="false" ht="15" hidden="false" customHeight="false" outlineLevel="0" collapsed="false">
      <c r="A148" s="8" t="s">
        <v>73</v>
      </c>
      <c r="B148" s="8" t="s">
        <v>45</v>
      </c>
      <c r="C148" s="6" t="s">
        <v>163</v>
      </c>
      <c r="D148" s="6" t="s">
        <v>201</v>
      </c>
      <c r="E148" s="8" t="s">
        <v>202</v>
      </c>
      <c r="F148" s="30" t="n">
        <v>2</v>
      </c>
      <c r="G148" s="15" t="s">
        <v>485</v>
      </c>
    </row>
    <row r="149" customFormat="false" ht="15" hidden="false" customHeight="false" outlineLevel="0" collapsed="false">
      <c r="A149" s="8" t="s">
        <v>73</v>
      </c>
      <c r="B149" s="8" t="s">
        <v>45</v>
      </c>
      <c r="C149" s="6" t="s">
        <v>163</v>
      </c>
      <c r="D149" s="6" t="s">
        <v>207</v>
      </c>
      <c r="E149" s="8" t="s">
        <v>208</v>
      </c>
      <c r="F149" s="30" t="n">
        <v>2</v>
      </c>
      <c r="G149" s="15" t="s">
        <v>486</v>
      </c>
    </row>
    <row r="150" customFormat="false" ht="28.35" hidden="false" customHeight="false" outlineLevel="0" collapsed="false">
      <c r="A150" s="8" t="s">
        <v>73</v>
      </c>
      <c r="B150" s="8" t="s">
        <v>45</v>
      </c>
      <c r="C150" s="6" t="s">
        <v>163</v>
      </c>
      <c r="D150" s="6" t="s">
        <v>213</v>
      </c>
      <c r="E150" s="8" t="s">
        <v>214</v>
      </c>
      <c r="F150" s="30" t="n">
        <v>2</v>
      </c>
      <c r="G150" s="15" t="s">
        <v>487</v>
      </c>
    </row>
    <row r="151" customFormat="false" ht="28.35" hidden="false" customHeight="false" outlineLevel="0" collapsed="false">
      <c r="A151" s="8" t="s">
        <v>73</v>
      </c>
      <c r="B151" s="8" t="s">
        <v>45</v>
      </c>
      <c r="C151" s="6" t="s">
        <v>163</v>
      </c>
      <c r="D151" s="6" t="s">
        <v>219</v>
      </c>
      <c r="E151" s="8" t="s">
        <v>220</v>
      </c>
      <c r="F151" s="30" t="n">
        <v>1</v>
      </c>
      <c r="G151" s="15" t="s">
        <v>488</v>
      </c>
    </row>
    <row r="152" customFormat="false" ht="28.35" hidden="false" customHeight="false" outlineLevel="0" collapsed="false">
      <c r="A152" s="8" t="s">
        <v>73</v>
      </c>
      <c r="B152" s="8" t="s">
        <v>45</v>
      </c>
      <c r="C152" s="6" t="s">
        <v>163</v>
      </c>
      <c r="D152" s="6" t="s">
        <v>225</v>
      </c>
      <c r="E152" s="8" t="s">
        <v>226</v>
      </c>
      <c r="F152" s="30" t="n">
        <v>2</v>
      </c>
      <c r="G152" s="15" t="s">
        <v>489</v>
      </c>
    </row>
    <row r="153" customFormat="false" ht="15" hidden="false" customHeight="false" outlineLevel="0" collapsed="false">
      <c r="A153" s="8" t="s">
        <v>73</v>
      </c>
      <c r="B153" s="8" t="s">
        <v>45</v>
      </c>
      <c r="C153" s="6" t="s">
        <v>163</v>
      </c>
      <c r="D153" s="6" t="s">
        <v>230</v>
      </c>
      <c r="E153" s="8" t="s">
        <v>231</v>
      </c>
      <c r="F153" s="30" t="s">
        <v>357</v>
      </c>
      <c r="G153" s="15" t="s">
        <v>461</v>
      </c>
    </row>
    <row r="154" customFormat="false" ht="15" hidden="false" customHeight="false" outlineLevel="0" collapsed="false">
      <c r="A154" s="8" t="s">
        <v>73</v>
      </c>
      <c r="B154" s="8" t="s">
        <v>45</v>
      </c>
      <c r="C154" s="6" t="s">
        <v>163</v>
      </c>
      <c r="D154" s="6" t="s">
        <v>236</v>
      </c>
      <c r="E154" s="8" t="s">
        <v>237</v>
      </c>
      <c r="F154" s="30" t="n">
        <v>1</v>
      </c>
      <c r="G154" s="15" t="s">
        <v>490</v>
      </c>
    </row>
    <row r="155" customFormat="false" ht="15" hidden="false" customHeight="false" outlineLevel="0" collapsed="false">
      <c r="A155" s="8" t="s">
        <v>73</v>
      </c>
      <c r="B155" s="8" t="s">
        <v>45</v>
      </c>
      <c r="C155" s="6" t="s">
        <v>166</v>
      </c>
      <c r="D155" s="6" t="s">
        <v>242</v>
      </c>
      <c r="E155" s="8" t="s">
        <v>243</v>
      </c>
      <c r="F155" s="30" t="n">
        <v>2</v>
      </c>
      <c r="G155" s="15" t="s">
        <v>491</v>
      </c>
    </row>
    <row r="156" customFormat="false" ht="15" hidden="false" customHeight="false" outlineLevel="0" collapsed="false">
      <c r="A156" s="8" t="s">
        <v>73</v>
      </c>
      <c r="B156" s="8" t="s">
        <v>45</v>
      </c>
      <c r="C156" s="6" t="s">
        <v>166</v>
      </c>
      <c r="D156" s="6" t="s">
        <v>247</v>
      </c>
      <c r="E156" s="8" t="s">
        <v>248</v>
      </c>
      <c r="F156" s="30" t="n">
        <v>2</v>
      </c>
      <c r="G156" s="15" t="s">
        <v>492</v>
      </c>
    </row>
    <row r="157" customFormat="false" ht="15" hidden="false" customHeight="false" outlineLevel="0" collapsed="false">
      <c r="A157" s="8" t="s">
        <v>73</v>
      </c>
      <c r="B157" s="8" t="s">
        <v>45</v>
      </c>
      <c r="C157" s="6" t="s">
        <v>166</v>
      </c>
      <c r="D157" s="6" t="s">
        <v>252</v>
      </c>
      <c r="E157" s="8" t="s">
        <v>253</v>
      </c>
      <c r="F157" s="30" t="n">
        <v>2</v>
      </c>
      <c r="G157" s="15" t="s">
        <v>493</v>
      </c>
    </row>
    <row r="158" customFormat="false" ht="15" hidden="false" customHeight="false" outlineLevel="0" collapsed="false">
      <c r="A158" s="8" t="s">
        <v>73</v>
      </c>
      <c r="B158" s="8" t="s">
        <v>45</v>
      </c>
      <c r="C158" s="6" t="s">
        <v>166</v>
      </c>
      <c r="D158" s="6" t="s">
        <v>257</v>
      </c>
      <c r="E158" s="8" t="s">
        <v>258</v>
      </c>
      <c r="F158" s="30" t="n">
        <v>2</v>
      </c>
      <c r="G158" s="15" t="s">
        <v>494</v>
      </c>
    </row>
    <row r="159" customFormat="false" ht="28.35" hidden="false" customHeight="false" outlineLevel="0" collapsed="false">
      <c r="A159" s="8" t="s">
        <v>73</v>
      </c>
      <c r="B159" s="8" t="s">
        <v>45</v>
      </c>
      <c r="C159" s="6" t="s">
        <v>166</v>
      </c>
      <c r="D159" s="6" t="s">
        <v>262</v>
      </c>
      <c r="E159" s="8" t="s">
        <v>263</v>
      </c>
      <c r="F159" s="30" t="n">
        <v>2</v>
      </c>
      <c r="G159" s="15" t="s">
        <v>495</v>
      </c>
    </row>
    <row r="160" customFormat="false" ht="15" hidden="false" customHeight="false" outlineLevel="0" collapsed="false">
      <c r="A160" s="8" t="s">
        <v>73</v>
      </c>
      <c r="B160" s="8" t="s">
        <v>45</v>
      </c>
      <c r="C160" s="6" t="s">
        <v>166</v>
      </c>
      <c r="D160" s="6" t="s">
        <v>267</v>
      </c>
      <c r="E160" s="8" t="s">
        <v>268</v>
      </c>
      <c r="F160" s="30" t="n">
        <v>2</v>
      </c>
      <c r="G160" s="15" t="s">
        <v>496</v>
      </c>
    </row>
    <row r="161" customFormat="false" ht="28.35" hidden="false" customHeight="false" outlineLevel="0" collapsed="false">
      <c r="A161" s="8" t="s">
        <v>73</v>
      </c>
      <c r="B161" s="8" t="s">
        <v>45</v>
      </c>
      <c r="C161" s="6" t="s">
        <v>166</v>
      </c>
      <c r="D161" s="6" t="s">
        <v>272</v>
      </c>
      <c r="E161" s="8" t="s">
        <v>273</v>
      </c>
      <c r="F161" s="30" t="n">
        <v>2</v>
      </c>
      <c r="G161" s="15" t="s">
        <v>497</v>
      </c>
    </row>
    <row r="162" customFormat="false" ht="15" hidden="false" customHeight="false" outlineLevel="0" collapsed="false">
      <c r="A162" s="8" t="s">
        <v>73</v>
      </c>
      <c r="B162" s="8" t="s">
        <v>45</v>
      </c>
      <c r="C162" s="6" t="s">
        <v>166</v>
      </c>
      <c r="D162" s="6" t="s">
        <v>276</v>
      </c>
      <c r="E162" s="8" t="s">
        <v>277</v>
      </c>
      <c r="F162" s="30" t="n">
        <v>1</v>
      </c>
      <c r="G162" s="15" t="s">
        <v>498</v>
      </c>
    </row>
    <row r="163" customFormat="false" ht="15" hidden="false" customHeight="false" outlineLevel="0" collapsed="false">
      <c r="A163" s="8" t="s">
        <v>73</v>
      </c>
      <c r="B163" s="8" t="s">
        <v>45</v>
      </c>
      <c r="C163" s="6" t="s">
        <v>169</v>
      </c>
      <c r="D163" s="6" t="s">
        <v>280</v>
      </c>
      <c r="E163" s="8" t="s">
        <v>281</v>
      </c>
      <c r="F163" s="30" t="n">
        <v>2</v>
      </c>
      <c r="G163" s="15" t="s">
        <v>499</v>
      </c>
    </row>
    <row r="164" customFormat="false" ht="28.35" hidden="false" customHeight="false" outlineLevel="0" collapsed="false">
      <c r="A164" s="8" t="s">
        <v>73</v>
      </c>
      <c r="B164" s="8" t="s">
        <v>45</v>
      </c>
      <c r="C164" s="6" t="s">
        <v>169</v>
      </c>
      <c r="D164" s="6" t="s">
        <v>285</v>
      </c>
      <c r="E164" s="8" t="s">
        <v>286</v>
      </c>
      <c r="F164" s="30" t="n">
        <v>2</v>
      </c>
      <c r="G164" s="15" t="s">
        <v>500</v>
      </c>
    </row>
    <row r="165" customFormat="false" ht="15" hidden="false" customHeight="false" outlineLevel="0" collapsed="false">
      <c r="A165" s="8" t="s">
        <v>73</v>
      </c>
      <c r="B165" s="8" t="s">
        <v>45</v>
      </c>
      <c r="C165" s="6" t="s">
        <v>169</v>
      </c>
      <c r="D165" s="6" t="s">
        <v>290</v>
      </c>
      <c r="E165" s="8" t="s">
        <v>291</v>
      </c>
      <c r="F165" s="30" t="s">
        <v>357</v>
      </c>
      <c r="G165" s="15" t="s">
        <v>501</v>
      </c>
    </row>
    <row r="166" customFormat="false" ht="28.35" hidden="false" customHeight="false" outlineLevel="0" collapsed="false">
      <c r="A166" s="8" t="s">
        <v>73</v>
      </c>
      <c r="B166" s="8" t="s">
        <v>45</v>
      </c>
      <c r="C166" s="6" t="s">
        <v>169</v>
      </c>
      <c r="D166" s="6" t="s">
        <v>295</v>
      </c>
      <c r="E166" s="8" t="s">
        <v>296</v>
      </c>
      <c r="F166" s="30" t="n">
        <v>2</v>
      </c>
      <c r="G166" s="15" t="s">
        <v>502</v>
      </c>
    </row>
    <row r="167" customFormat="false" ht="15" hidden="false" customHeight="false" outlineLevel="0" collapsed="false">
      <c r="A167" s="8" t="s">
        <v>73</v>
      </c>
      <c r="B167" s="8" t="s">
        <v>45</v>
      </c>
      <c r="C167" s="6" t="s">
        <v>169</v>
      </c>
      <c r="D167" s="6" t="s">
        <v>299</v>
      </c>
      <c r="E167" s="8" t="s">
        <v>300</v>
      </c>
      <c r="F167" s="30" t="n">
        <v>1</v>
      </c>
      <c r="G167" s="15" t="s">
        <v>503</v>
      </c>
    </row>
    <row r="168" customFormat="false" ht="28.35" hidden="false" customHeight="false" outlineLevel="0" collapsed="false">
      <c r="A168" s="8" t="s">
        <v>73</v>
      </c>
      <c r="B168" s="8" t="s">
        <v>45</v>
      </c>
      <c r="C168" s="6" t="s">
        <v>172</v>
      </c>
      <c r="D168" s="6" t="s">
        <v>303</v>
      </c>
      <c r="E168" s="8" t="s">
        <v>304</v>
      </c>
      <c r="F168" s="30" t="n">
        <v>2</v>
      </c>
      <c r="G168" s="15" t="s">
        <v>504</v>
      </c>
    </row>
    <row r="169" customFormat="false" ht="28.35" hidden="false" customHeight="false" outlineLevel="0" collapsed="false">
      <c r="A169" s="8" t="s">
        <v>73</v>
      </c>
      <c r="B169" s="8" t="s">
        <v>45</v>
      </c>
      <c r="C169" s="6" t="s">
        <v>172</v>
      </c>
      <c r="D169" s="6" t="s">
        <v>307</v>
      </c>
      <c r="E169" s="8" t="s">
        <v>308</v>
      </c>
      <c r="F169" s="30" t="n">
        <v>1</v>
      </c>
      <c r="G169" s="15" t="s">
        <v>505</v>
      </c>
    </row>
    <row r="170" customFormat="false" ht="15" hidden="false" customHeight="false" outlineLevel="0" collapsed="false">
      <c r="A170" s="8" t="s">
        <v>73</v>
      </c>
      <c r="B170" s="8" t="s">
        <v>45</v>
      </c>
      <c r="C170" s="6" t="s">
        <v>172</v>
      </c>
      <c r="D170" s="6" t="s">
        <v>311</v>
      </c>
      <c r="E170" s="8" t="s">
        <v>312</v>
      </c>
      <c r="F170" s="30" t="n">
        <v>2</v>
      </c>
      <c r="G170" s="15" t="s">
        <v>506</v>
      </c>
    </row>
    <row r="171" customFormat="false" ht="15" hidden="false" customHeight="false" outlineLevel="0" collapsed="false">
      <c r="A171" s="8" t="s">
        <v>73</v>
      </c>
      <c r="B171" s="8" t="s">
        <v>45</v>
      </c>
      <c r="C171" s="6" t="s">
        <v>172</v>
      </c>
      <c r="D171" s="6" t="s">
        <v>315</v>
      </c>
      <c r="E171" s="8" t="s">
        <v>316</v>
      </c>
      <c r="F171" s="30" t="n">
        <v>2</v>
      </c>
      <c r="G171" s="15" t="s">
        <v>507</v>
      </c>
    </row>
    <row r="172" customFormat="false" ht="15" hidden="false" customHeight="false" outlineLevel="0" collapsed="false">
      <c r="A172" s="8" t="s">
        <v>73</v>
      </c>
      <c r="B172" s="8" t="s">
        <v>45</v>
      </c>
      <c r="C172" s="6" t="s">
        <v>172</v>
      </c>
      <c r="D172" s="6" t="s">
        <v>318</v>
      </c>
      <c r="E172" s="8" t="s">
        <v>319</v>
      </c>
      <c r="F172" s="30" t="n">
        <v>2</v>
      </c>
      <c r="G172" s="15" t="s">
        <v>508</v>
      </c>
    </row>
    <row r="173" customFormat="false" ht="15" hidden="false" customHeight="false" outlineLevel="0" collapsed="false">
      <c r="A173" s="8" t="s">
        <v>73</v>
      </c>
      <c r="B173" s="8" t="s">
        <v>45</v>
      </c>
      <c r="C173" s="6" t="s">
        <v>175</v>
      </c>
      <c r="D173" s="6" t="s">
        <v>324</v>
      </c>
      <c r="E173" s="8" t="s">
        <v>325</v>
      </c>
      <c r="F173" s="30" t="n">
        <v>0</v>
      </c>
      <c r="G173" s="15" t="s">
        <v>509</v>
      </c>
    </row>
    <row r="174" customFormat="false" ht="28.35" hidden="false" customHeight="false" outlineLevel="0" collapsed="false">
      <c r="A174" s="8" t="s">
        <v>73</v>
      </c>
      <c r="B174" s="8" t="s">
        <v>45</v>
      </c>
      <c r="C174" s="6" t="s">
        <v>175</v>
      </c>
      <c r="D174" s="6" t="s">
        <v>329</v>
      </c>
      <c r="E174" s="8" t="s">
        <v>330</v>
      </c>
      <c r="F174" s="30" t="n">
        <v>2</v>
      </c>
      <c r="G174" s="15" t="s">
        <v>510</v>
      </c>
    </row>
    <row r="175" customFormat="false" ht="28.35" hidden="false" customHeight="false" outlineLevel="0" collapsed="false">
      <c r="A175" s="8" t="s">
        <v>73</v>
      </c>
      <c r="B175" s="8" t="s">
        <v>45</v>
      </c>
      <c r="C175" s="6" t="s">
        <v>175</v>
      </c>
      <c r="D175" s="6" t="s">
        <v>333</v>
      </c>
      <c r="E175" s="8" t="s">
        <v>334</v>
      </c>
      <c r="F175" s="30" t="n">
        <v>2</v>
      </c>
      <c r="G175" s="15" t="s">
        <v>511</v>
      </c>
    </row>
    <row r="176" customFormat="false" ht="15" hidden="false" customHeight="false" outlineLevel="0" collapsed="false">
      <c r="A176" s="8" t="s">
        <v>77</v>
      </c>
      <c r="B176" s="8" t="s">
        <v>45</v>
      </c>
      <c r="C176" s="6" t="s">
        <v>163</v>
      </c>
      <c r="D176" s="6" t="s">
        <v>196</v>
      </c>
      <c r="E176" s="8" t="s">
        <v>197</v>
      </c>
      <c r="F176" s="30" t="n">
        <v>2</v>
      </c>
      <c r="G176" s="15" t="s">
        <v>512</v>
      </c>
    </row>
    <row r="177" customFormat="false" ht="28.35" hidden="false" customHeight="false" outlineLevel="0" collapsed="false">
      <c r="A177" s="8" t="s">
        <v>77</v>
      </c>
      <c r="B177" s="8" t="s">
        <v>45</v>
      </c>
      <c r="C177" s="6" t="s">
        <v>163</v>
      </c>
      <c r="D177" s="6" t="s">
        <v>201</v>
      </c>
      <c r="E177" s="8" t="s">
        <v>202</v>
      </c>
      <c r="F177" s="30" t="n">
        <v>2</v>
      </c>
      <c r="G177" s="15" t="s">
        <v>513</v>
      </c>
    </row>
    <row r="178" customFormat="false" ht="15" hidden="false" customHeight="false" outlineLevel="0" collapsed="false">
      <c r="A178" s="8" t="s">
        <v>77</v>
      </c>
      <c r="B178" s="8" t="s">
        <v>45</v>
      </c>
      <c r="C178" s="6" t="s">
        <v>163</v>
      </c>
      <c r="D178" s="6" t="s">
        <v>207</v>
      </c>
      <c r="E178" s="8" t="s">
        <v>208</v>
      </c>
      <c r="F178" s="30" t="n">
        <v>2</v>
      </c>
      <c r="G178" s="15" t="s">
        <v>514</v>
      </c>
    </row>
    <row r="179" customFormat="false" ht="15" hidden="false" customHeight="false" outlineLevel="0" collapsed="false">
      <c r="A179" s="8" t="s">
        <v>77</v>
      </c>
      <c r="B179" s="8" t="s">
        <v>45</v>
      </c>
      <c r="C179" s="6" t="s">
        <v>163</v>
      </c>
      <c r="D179" s="6" t="s">
        <v>213</v>
      </c>
      <c r="E179" s="8" t="s">
        <v>214</v>
      </c>
      <c r="F179" s="30" t="n">
        <v>2</v>
      </c>
      <c r="G179" s="15" t="s">
        <v>515</v>
      </c>
    </row>
    <row r="180" customFormat="false" ht="15" hidden="false" customHeight="false" outlineLevel="0" collapsed="false">
      <c r="A180" s="8" t="s">
        <v>77</v>
      </c>
      <c r="B180" s="8" t="s">
        <v>45</v>
      </c>
      <c r="C180" s="6" t="s">
        <v>163</v>
      </c>
      <c r="D180" s="6" t="s">
        <v>219</v>
      </c>
      <c r="E180" s="8" t="s">
        <v>220</v>
      </c>
      <c r="F180" s="30" t="n">
        <v>1</v>
      </c>
      <c r="G180" s="15" t="s">
        <v>516</v>
      </c>
    </row>
    <row r="181" customFormat="false" ht="15" hidden="false" customHeight="false" outlineLevel="0" collapsed="false">
      <c r="A181" s="8" t="s">
        <v>77</v>
      </c>
      <c r="B181" s="8" t="s">
        <v>45</v>
      </c>
      <c r="C181" s="6" t="s">
        <v>163</v>
      </c>
      <c r="D181" s="6" t="s">
        <v>225</v>
      </c>
      <c r="E181" s="8" t="s">
        <v>226</v>
      </c>
      <c r="F181" s="30" t="n">
        <v>2</v>
      </c>
      <c r="G181" s="15" t="s">
        <v>517</v>
      </c>
    </row>
    <row r="182" customFormat="false" ht="15" hidden="false" customHeight="false" outlineLevel="0" collapsed="false">
      <c r="A182" s="8" t="s">
        <v>77</v>
      </c>
      <c r="B182" s="8" t="s">
        <v>45</v>
      </c>
      <c r="C182" s="6" t="s">
        <v>163</v>
      </c>
      <c r="D182" s="6" t="s">
        <v>230</v>
      </c>
      <c r="E182" s="8" t="s">
        <v>231</v>
      </c>
      <c r="F182" s="30" t="s">
        <v>357</v>
      </c>
      <c r="G182" s="15" t="s">
        <v>518</v>
      </c>
    </row>
    <row r="183" customFormat="false" ht="15" hidden="false" customHeight="false" outlineLevel="0" collapsed="false">
      <c r="A183" s="8" t="s">
        <v>77</v>
      </c>
      <c r="B183" s="8" t="s">
        <v>45</v>
      </c>
      <c r="C183" s="6" t="s">
        <v>163</v>
      </c>
      <c r="D183" s="6" t="s">
        <v>236</v>
      </c>
      <c r="E183" s="8" t="s">
        <v>237</v>
      </c>
      <c r="F183" s="30" t="n">
        <v>2</v>
      </c>
      <c r="G183" s="15" t="s">
        <v>519</v>
      </c>
    </row>
    <row r="184" customFormat="false" ht="15" hidden="false" customHeight="false" outlineLevel="0" collapsed="false">
      <c r="A184" s="8" t="s">
        <v>77</v>
      </c>
      <c r="B184" s="8" t="s">
        <v>45</v>
      </c>
      <c r="C184" s="6" t="s">
        <v>166</v>
      </c>
      <c r="D184" s="6" t="s">
        <v>242</v>
      </c>
      <c r="E184" s="8" t="s">
        <v>243</v>
      </c>
      <c r="F184" s="30" t="n">
        <v>2</v>
      </c>
      <c r="G184" s="15" t="s">
        <v>520</v>
      </c>
    </row>
    <row r="185" customFormat="false" ht="15" hidden="false" customHeight="false" outlineLevel="0" collapsed="false">
      <c r="A185" s="8" t="s">
        <v>77</v>
      </c>
      <c r="B185" s="8" t="s">
        <v>45</v>
      </c>
      <c r="C185" s="6" t="s">
        <v>166</v>
      </c>
      <c r="D185" s="6" t="s">
        <v>247</v>
      </c>
      <c r="E185" s="8" t="s">
        <v>248</v>
      </c>
      <c r="F185" s="30" t="n">
        <v>2</v>
      </c>
      <c r="G185" s="15" t="s">
        <v>521</v>
      </c>
    </row>
    <row r="186" customFormat="false" ht="15" hidden="false" customHeight="false" outlineLevel="0" collapsed="false">
      <c r="A186" s="8" t="s">
        <v>77</v>
      </c>
      <c r="B186" s="8" t="s">
        <v>45</v>
      </c>
      <c r="C186" s="6" t="s">
        <v>166</v>
      </c>
      <c r="D186" s="6" t="s">
        <v>252</v>
      </c>
      <c r="E186" s="8" t="s">
        <v>253</v>
      </c>
      <c r="F186" s="30" t="n">
        <v>2</v>
      </c>
      <c r="G186" s="15" t="s">
        <v>522</v>
      </c>
    </row>
    <row r="187" customFormat="false" ht="15" hidden="false" customHeight="false" outlineLevel="0" collapsed="false">
      <c r="A187" s="8" t="s">
        <v>77</v>
      </c>
      <c r="B187" s="8" t="s">
        <v>45</v>
      </c>
      <c r="C187" s="6" t="s">
        <v>166</v>
      </c>
      <c r="D187" s="6" t="s">
        <v>257</v>
      </c>
      <c r="E187" s="8" t="s">
        <v>258</v>
      </c>
      <c r="F187" s="30" t="n">
        <v>1</v>
      </c>
      <c r="G187" s="15" t="s">
        <v>523</v>
      </c>
    </row>
    <row r="188" customFormat="false" ht="28.35" hidden="false" customHeight="false" outlineLevel="0" collapsed="false">
      <c r="A188" s="8" t="s">
        <v>77</v>
      </c>
      <c r="B188" s="8" t="s">
        <v>45</v>
      </c>
      <c r="C188" s="6" t="s">
        <v>166</v>
      </c>
      <c r="D188" s="6" t="s">
        <v>262</v>
      </c>
      <c r="E188" s="8" t="s">
        <v>263</v>
      </c>
      <c r="F188" s="30" t="n">
        <v>2</v>
      </c>
      <c r="G188" s="15" t="s">
        <v>524</v>
      </c>
    </row>
    <row r="189" customFormat="false" ht="28.35" hidden="false" customHeight="false" outlineLevel="0" collapsed="false">
      <c r="A189" s="8" t="s">
        <v>77</v>
      </c>
      <c r="B189" s="8" t="s">
        <v>45</v>
      </c>
      <c r="C189" s="6" t="s">
        <v>166</v>
      </c>
      <c r="D189" s="6" t="s">
        <v>267</v>
      </c>
      <c r="E189" s="8" t="s">
        <v>268</v>
      </c>
      <c r="F189" s="30" t="n">
        <v>1</v>
      </c>
      <c r="G189" s="15" t="s">
        <v>525</v>
      </c>
    </row>
    <row r="190" customFormat="false" ht="15" hidden="false" customHeight="false" outlineLevel="0" collapsed="false">
      <c r="A190" s="8" t="s">
        <v>77</v>
      </c>
      <c r="B190" s="8" t="s">
        <v>45</v>
      </c>
      <c r="C190" s="6" t="s">
        <v>166</v>
      </c>
      <c r="D190" s="6" t="s">
        <v>272</v>
      </c>
      <c r="E190" s="8" t="s">
        <v>273</v>
      </c>
      <c r="F190" s="30" t="n">
        <v>1</v>
      </c>
      <c r="G190" s="15" t="s">
        <v>526</v>
      </c>
    </row>
    <row r="191" customFormat="false" ht="15" hidden="false" customHeight="false" outlineLevel="0" collapsed="false">
      <c r="A191" s="8" t="s">
        <v>77</v>
      </c>
      <c r="B191" s="8" t="s">
        <v>45</v>
      </c>
      <c r="C191" s="6" t="s">
        <v>166</v>
      </c>
      <c r="D191" s="6" t="s">
        <v>276</v>
      </c>
      <c r="E191" s="8" t="s">
        <v>277</v>
      </c>
      <c r="F191" s="30" t="n">
        <v>2</v>
      </c>
      <c r="G191" s="15" t="s">
        <v>527</v>
      </c>
    </row>
    <row r="192" customFormat="false" ht="15" hidden="false" customHeight="false" outlineLevel="0" collapsed="false">
      <c r="A192" s="8" t="s">
        <v>77</v>
      </c>
      <c r="B192" s="8" t="s">
        <v>45</v>
      </c>
      <c r="C192" s="6" t="s">
        <v>169</v>
      </c>
      <c r="D192" s="6" t="s">
        <v>280</v>
      </c>
      <c r="E192" s="8" t="s">
        <v>281</v>
      </c>
      <c r="F192" s="30" t="n">
        <v>2</v>
      </c>
      <c r="G192" s="15" t="s">
        <v>528</v>
      </c>
    </row>
    <row r="193" customFormat="false" ht="15" hidden="false" customHeight="false" outlineLevel="0" collapsed="false">
      <c r="A193" s="8" t="s">
        <v>77</v>
      </c>
      <c r="B193" s="8" t="s">
        <v>45</v>
      </c>
      <c r="C193" s="6" t="s">
        <v>169</v>
      </c>
      <c r="D193" s="6" t="s">
        <v>285</v>
      </c>
      <c r="E193" s="8" t="s">
        <v>286</v>
      </c>
      <c r="F193" s="30" t="n">
        <v>2</v>
      </c>
      <c r="G193" s="15" t="s">
        <v>529</v>
      </c>
    </row>
    <row r="194" customFormat="false" ht="15" hidden="false" customHeight="false" outlineLevel="0" collapsed="false">
      <c r="A194" s="8" t="s">
        <v>77</v>
      </c>
      <c r="B194" s="8" t="s">
        <v>45</v>
      </c>
      <c r="C194" s="6" t="s">
        <v>169</v>
      </c>
      <c r="D194" s="6" t="s">
        <v>290</v>
      </c>
      <c r="E194" s="8" t="s">
        <v>291</v>
      </c>
      <c r="F194" s="30" t="s">
        <v>357</v>
      </c>
      <c r="G194" s="15" t="s">
        <v>530</v>
      </c>
    </row>
    <row r="195" customFormat="false" ht="15" hidden="false" customHeight="false" outlineLevel="0" collapsed="false">
      <c r="A195" s="8" t="s">
        <v>77</v>
      </c>
      <c r="B195" s="8" t="s">
        <v>45</v>
      </c>
      <c r="C195" s="6" t="s">
        <v>169</v>
      </c>
      <c r="D195" s="6" t="s">
        <v>295</v>
      </c>
      <c r="E195" s="8" t="s">
        <v>296</v>
      </c>
      <c r="F195" s="30" t="n">
        <v>2</v>
      </c>
      <c r="G195" s="15" t="s">
        <v>531</v>
      </c>
    </row>
    <row r="196" customFormat="false" ht="15" hidden="false" customHeight="false" outlineLevel="0" collapsed="false">
      <c r="A196" s="8" t="s">
        <v>77</v>
      </c>
      <c r="B196" s="8" t="s">
        <v>45</v>
      </c>
      <c r="C196" s="6" t="s">
        <v>169</v>
      </c>
      <c r="D196" s="6" t="s">
        <v>299</v>
      </c>
      <c r="E196" s="8" t="s">
        <v>300</v>
      </c>
      <c r="F196" s="30" t="n">
        <v>1</v>
      </c>
      <c r="G196" s="15" t="s">
        <v>532</v>
      </c>
    </row>
    <row r="197" customFormat="false" ht="28.35" hidden="false" customHeight="false" outlineLevel="0" collapsed="false">
      <c r="A197" s="8" t="s">
        <v>77</v>
      </c>
      <c r="B197" s="8" t="s">
        <v>45</v>
      </c>
      <c r="C197" s="6" t="s">
        <v>172</v>
      </c>
      <c r="D197" s="6" t="s">
        <v>303</v>
      </c>
      <c r="E197" s="8" t="s">
        <v>304</v>
      </c>
      <c r="F197" s="30" t="n">
        <v>2</v>
      </c>
      <c r="G197" s="15" t="s">
        <v>533</v>
      </c>
    </row>
    <row r="198" customFormat="false" ht="15" hidden="false" customHeight="false" outlineLevel="0" collapsed="false">
      <c r="A198" s="8" t="s">
        <v>77</v>
      </c>
      <c r="B198" s="8" t="s">
        <v>45</v>
      </c>
      <c r="C198" s="6" t="s">
        <v>172</v>
      </c>
      <c r="D198" s="6" t="s">
        <v>307</v>
      </c>
      <c r="E198" s="8" t="s">
        <v>308</v>
      </c>
      <c r="F198" s="30" t="n">
        <v>2</v>
      </c>
      <c r="G198" s="15" t="s">
        <v>534</v>
      </c>
    </row>
    <row r="199" customFormat="false" ht="15" hidden="false" customHeight="false" outlineLevel="0" collapsed="false">
      <c r="A199" s="8" t="s">
        <v>77</v>
      </c>
      <c r="B199" s="8" t="s">
        <v>45</v>
      </c>
      <c r="C199" s="6" t="s">
        <v>172</v>
      </c>
      <c r="D199" s="6" t="s">
        <v>311</v>
      </c>
      <c r="E199" s="8" t="s">
        <v>312</v>
      </c>
      <c r="F199" s="30" t="n">
        <v>2</v>
      </c>
      <c r="G199" s="15" t="s">
        <v>535</v>
      </c>
    </row>
    <row r="200" customFormat="false" ht="15" hidden="false" customHeight="false" outlineLevel="0" collapsed="false">
      <c r="A200" s="8" t="s">
        <v>77</v>
      </c>
      <c r="B200" s="8" t="s">
        <v>45</v>
      </c>
      <c r="C200" s="6" t="s">
        <v>172</v>
      </c>
      <c r="D200" s="6" t="s">
        <v>315</v>
      </c>
      <c r="E200" s="8" t="s">
        <v>316</v>
      </c>
      <c r="F200" s="30" t="s">
        <v>357</v>
      </c>
      <c r="G200" s="15" t="s">
        <v>536</v>
      </c>
    </row>
    <row r="201" customFormat="false" ht="15" hidden="false" customHeight="false" outlineLevel="0" collapsed="false">
      <c r="A201" s="8" t="s">
        <v>77</v>
      </c>
      <c r="B201" s="8" t="s">
        <v>45</v>
      </c>
      <c r="C201" s="6" t="s">
        <v>172</v>
      </c>
      <c r="D201" s="6" t="s">
        <v>318</v>
      </c>
      <c r="E201" s="8" t="s">
        <v>319</v>
      </c>
      <c r="F201" s="30" t="n">
        <v>2</v>
      </c>
      <c r="G201" s="15" t="s">
        <v>537</v>
      </c>
    </row>
    <row r="202" customFormat="false" ht="15" hidden="false" customHeight="false" outlineLevel="0" collapsed="false">
      <c r="A202" s="8" t="s">
        <v>77</v>
      </c>
      <c r="B202" s="8" t="s">
        <v>45</v>
      </c>
      <c r="C202" s="6" t="s">
        <v>175</v>
      </c>
      <c r="D202" s="6" t="s">
        <v>324</v>
      </c>
      <c r="E202" s="8" t="s">
        <v>325</v>
      </c>
      <c r="F202" s="30" t="n">
        <v>1</v>
      </c>
      <c r="G202" s="15" t="s">
        <v>538</v>
      </c>
    </row>
    <row r="203" customFormat="false" ht="28.35" hidden="false" customHeight="false" outlineLevel="0" collapsed="false">
      <c r="A203" s="8" t="s">
        <v>77</v>
      </c>
      <c r="B203" s="8" t="s">
        <v>45</v>
      </c>
      <c r="C203" s="6" t="s">
        <v>175</v>
      </c>
      <c r="D203" s="6" t="s">
        <v>329</v>
      </c>
      <c r="E203" s="8" t="s">
        <v>330</v>
      </c>
      <c r="F203" s="30" t="n">
        <v>2</v>
      </c>
      <c r="G203" s="15" t="s">
        <v>539</v>
      </c>
    </row>
    <row r="204" customFormat="false" ht="28.35" hidden="false" customHeight="false" outlineLevel="0" collapsed="false">
      <c r="A204" s="8" t="s">
        <v>77</v>
      </c>
      <c r="B204" s="8" t="s">
        <v>45</v>
      </c>
      <c r="C204" s="6" t="s">
        <v>175</v>
      </c>
      <c r="D204" s="6" t="s">
        <v>333</v>
      </c>
      <c r="E204" s="8" t="s">
        <v>334</v>
      </c>
      <c r="F204" s="30" t="n">
        <v>1</v>
      </c>
      <c r="G204" s="15" t="s">
        <v>540</v>
      </c>
    </row>
    <row r="205" customFormat="false" ht="15" hidden="false" customHeight="false" outlineLevel="0" collapsed="false">
      <c r="A205" s="8" t="s">
        <v>81</v>
      </c>
      <c r="B205" s="8" t="s">
        <v>45</v>
      </c>
      <c r="C205" s="6" t="s">
        <v>163</v>
      </c>
      <c r="D205" s="6" t="s">
        <v>196</v>
      </c>
      <c r="E205" s="8" t="s">
        <v>197</v>
      </c>
      <c r="F205" s="30" t="n">
        <v>2</v>
      </c>
      <c r="G205" s="15" t="s">
        <v>541</v>
      </c>
    </row>
    <row r="206" customFormat="false" ht="15" hidden="false" customHeight="false" outlineLevel="0" collapsed="false">
      <c r="A206" s="8" t="s">
        <v>81</v>
      </c>
      <c r="B206" s="8" t="s">
        <v>45</v>
      </c>
      <c r="C206" s="6" t="s">
        <v>163</v>
      </c>
      <c r="D206" s="6" t="s">
        <v>201</v>
      </c>
      <c r="E206" s="8" t="s">
        <v>202</v>
      </c>
      <c r="F206" s="30" t="n">
        <v>2</v>
      </c>
      <c r="G206" s="15" t="s">
        <v>542</v>
      </c>
    </row>
    <row r="207" customFormat="false" ht="15" hidden="false" customHeight="false" outlineLevel="0" collapsed="false">
      <c r="A207" s="8" t="s">
        <v>81</v>
      </c>
      <c r="B207" s="8" t="s">
        <v>45</v>
      </c>
      <c r="C207" s="6" t="s">
        <v>163</v>
      </c>
      <c r="D207" s="6" t="s">
        <v>207</v>
      </c>
      <c r="E207" s="8" t="s">
        <v>208</v>
      </c>
      <c r="F207" s="30" t="n">
        <v>2</v>
      </c>
      <c r="G207" s="15" t="s">
        <v>543</v>
      </c>
    </row>
    <row r="208" customFormat="false" ht="15" hidden="false" customHeight="false" outlineLevel="0" collapsed="false">
      <c r="A208" s="8" t="s">
        <v>81</v>
      </c>
      <c r="B208" s="8" t="s">
        <v>45</v>
      </c>
      <c r="C208" s="6" t="s">
        <v>163</v>
      </c>
      <c r="D208" s="6" t="s">
        <v>213</v>
      </c>
      <c r="E208" s="8" t="s">
        <v>214</v>
      </c>
      <c r="F208" s="30" t="n">
        <v>2</v>
      </c>
      <c r="G208" s="15" t="s">
        <v>544</v>
      </c>
    </row>
    <row r="209" customFormat="false" ht="15" hidden="false" customHeight="false" outlineLevel="0" collapsed="false">
      <c r="A209" s="8" t="s">
        <v>81</v>
      </c>
      <c r="B209" s="8" t="s">
        <v>45</v>
      </c>
      <c r="C209" s="6" t="s">
        <v>163</v>
      </c>
      <c r="D209" s="6" t="s">
        <v>219</v>
      </c>
      <c r="E209" s="8" t="s">
        <v>220</v>
      </c>
      <c r="F209" s="30" t="n">
        <v>2</v>
      </c>
      <c r="G209" s="15" t="s">
        <v>545</v>
      </c>
    </row>
    <row r="210" customFormat="false" ht="15" hidden="false" customHeight="false" outlineLevel="0" collapsed="false">
      <c r="A210" s="8" t="s">
        <v>81</v>
      </c>
      <c r="B210" s="8" t="s">
        <v>45</v>
      </c>
      <c r="C210" s="6" t="s">
        <v>163</v>
      </c>
      <c r="D210" s="6" t="s">
        <v>225</v>
      </c>
      <c r="E210" s="8" t="s">
        <v>226</v>
      </c>
      <c r="F210" s="30" t="n">
        <v>1</v>
      </c>
      <c r="G210" s="15" t="s">
        <v>546</v>
      </c>
    </row>
    <row r="211" customFormat="false" ht="15" hidden="false" customHeight="false" outlineLevel="0" collapsed="false">
      <c r="A211" s="8" t="s">
        <v>81</v>
      </c>
      <c r="B211" s="8" t="s">
        <v>45</v>
      </c>
      <c r="C211" s="6" t="s">
        <v>163</v>
      </c>
      <c r="D211" s="6" t="s">
        <v>230</v>
      </c>
      <c r="E211" s="8" t="s">
        <v>231</v>
      </c>
      <c r="F211" s="30" t="s">
        <v>357</v>
      </c>
      <c r="G211" s="15" t="s">
        <v>404</v>
      </c>
    </row>
    <row r="212" customFormat="false" ht="15" hidden="false" customHeight="false" outlineLevel="0" collapsed="false">
      <c r="A212" s="8" t="s">
        <v>81</v>
      </c>
      <c r="B212" s="8" t="s">
        <v>45</v>
      </c>
      <c r="C212" s="6" t="s">
        <v>163</v>
      </c>
      <c r="D212" s="6" t="s">
        <v>236</v>
      </c>
      <c r="E212" s="8" t="s">
        <v>237</v>
      </c>
      <c r="F212" s="30" t="n">
        <v>1</v>
      </c>
      <c r="G212" s="15" t="s">
        <v>547</v>
      </c>
    </row>
    <row r="213" customFormat="false" ht="15" hidden="false" customHeight="false" outlineLevel="0" collapsed="false">
      <c r="A213" s="8" t="s">
        <v>81</v>
      </c>
      <c r="B213" s="8" t="s">
        <v>45</v>
      </c>
      <c r="C213" s="6" t="s">
        <v>166</v>
      </c>
      <c r="D213" s="6" t="s">
        <v>242</v>
      </c>
      <c r="E213" s="8" t="s">
        <v>243</v>
      </c>
      <c r="F213" s="30" t="n">
        <v>2</v>
      </c>
      <c r="G213" s="15" t="s">
        <v>548</v>
      </c>
    </row>
    <row r="214" customFormat="false" ht="15" hidden="false" customHeight="false" outlineLevel="0" collapsed="false">
      <c r="A214" s="8" t="s">
        <v>81</v>
      </c>
      <c r="B214" s="8" t="s">
        <v>45</v>
      </c>
      <c r="C214" s="6" t="s">
        <v>166</v>
      </c>
      <c r="D214" s="6" t="s">
        <v>247</v>
      </c>
      <c r="E214" s="8" t="s">
        <v>248</v>
      </c>
      <c r="F214" s="30" t="n">
        <v>2</v>
      </c>
      <c r="G214" s="15" t="s">
        <v>549</v>
      </c>
    </row>
    <row r="215" customFormat="false" ht="15" hidden="false" customHeight="false" outlineLevel="0" collapsed="false">
      <c r="A215" s="8" t="s">
        <v>81</v>
      </c>
      <c r="B215" s="8" t="s">
        <v>45</v>
      </c>
      <c r="C215" s="6" t="s">
        <v>166</v>
      </c>
      <c r="D215" s="6" t="s">
        <v>252</v>
      </c>
      <c r="E215" s="8" t="s">
        <v>253</v>
      </c>
      <c r="F215" s="30" t="n">
        <v>1</v>
      </c>
      <c r="G215" s="15" t="s">
        <v>550</v>
      </c>
    </row>
    <row r="216" customFormat="false" ht="15" hidden="false" customHeight="false" outlineLevel="0" collapsed="false">
      <c r="A216" s="8" t="s">
        <v>81</v>
      </c>
      <c r="B216" s="8" t="s">
        <v>45</v>
      </c>
      <c r="C216" s="6" t="s">
        <v>166</v>
      </c>
      <c r="D216" s="6" t="s">
        <v>257</v>
      </c>
      <c r="E216" s="8" t="s">
        <v>258</v>
      </c>
      <c r="F216" s="30" t="n">
        <v>2</v>
      </c>
      <c r="G216" s="15" t="s">
        <v>551</v>
      </c>
    </row>
    <row r="217" customFormat="false" ht="15" hidden="false" customHeight="false" outlineLevel="0" collapsed="false">
      <c r="A217" s="8" t="s">
        <v>81</v>
      </c>
      <c r="B217" s="8" t="s">
        <v>45</v>
      </c>
      <c r="C217" s="6" t="s">
        <v>166</v>
      </c>
      <c r="D217" s="6" t="s">
        <v>262</v>
      </c>
      <c r="E217" s="8" t="s">
        <v>263</v>
      </c>
      <c r="F217" s="30" t="n">
        <v>2</v>
      </c>
      <c r="G217" s="15" t="s">
        <v>552</v>
      </c>
    </row>
    <row r="218" customFormat="false" ht="15" hidden="false" customHeight="false" outlineLevel="0" collapsed="false">
      <c r="A218" s="8" t="s">
        <v>81</v>
      </c>
      <c r="B218" s="8" t="s">
        <v>45</v>
      </c>
      <c r="C218" s="6" t="s">
        <v>166</v>
      </c>
      <c r="D218" s="6" t="s">
        <v>267</v>
      </c>
      <c r="E218" s="8" t="s">
        <v>268</v>
      </c>
      <c r="F218" s="30" t="n">
        <v>2</v>
      </c>
      <c r="G218" s="15" t="s">
        <v>553</v>
      </c>
    </row>
    <row r="219" customFormat="false" ht="15" hidden="false" customHeight="false" outlineLevel="0" collapsed="false">
      <c r="A219" s="8" t="s">
        <v>81</v>
      </c>
      <c r="B219" s="8" t="s">
        <v>45</v>
      </c>
      <c r="C219" s="6" t="s">
        <v>166</v>
      </c>
      <c r="D219" s="6" t="s">
        <v>272</v>
      </c>
      <c r="E219" s="8" t="s">
        <v>273</v>
      </c>
      <c r="F219" s="30" t="s">
        <v>357</v>
      </c>
      <c r="G219" s="15" t="s">
        <v>554</v>
      </c>
    </row>
    <row r="220" customFormat="false" ht="15" hidden="false" customHeight="false" outlineLevel="0" collapsed="false">
      <c r="A220" s="8" t="s">
        <v>81</v>
      </c>
      <c r="B220" s="8" t="s">
        <v>45</v>
      </c>
      <c r="C220" s="6" t="s">
        <v>166</v>
      </c>
      <c r="D220" s="6" t="s">
        <v>276</v>
      </c>
      <c r="E220" s="8" t="s">
        <v>277</v>
      </c>
      <c r="F220" s="30" t="n">
        <v>1</v>
      </c>
      <c r="G220" s="15" t="s">
        <v>555</v>
      </c>
    </row>
    <row r="221" customFormat="false" ht="15" hidden="false" customHeight="false" outlineLevel="0" collapsed="false">
      <c r="A221" s="8" t="s">
        <v>81</v>
      </c>
      <c r="B221" s="8" t="s">
        <v>45</v>
      </c>
      <c r="C221" s="6" t="s">
        <v>169</v>
      </c>
      <c r="D221" s="6" t="s">
        <v>280</v>
      </c>
      <c r="E221" s="8" t="s">
        <v>281</v>
      </c>
      <c r="F221" s="30" t="n">
        <v>2</v>
      </c>
      <c r="G221" s="15" t="s">
        <v>556</v>
      </c>
    </row>
    <row r="222" customFormat="false" ht="15" hidden="false" customHeight="false" outlineLevel="0" collapsed="false">
      <c r="A222" s="8" t="s">
        <v>81</v>
      </c>
      <c r="B222" s="8" t="s">
        <v>45</v>
      </c>
      <c r="C222" s="6" t="s">
        <v>169</v>
      </c>
      <c r="D222" s="6" t="s">
        <v>285</v>
      </c>
      <c r="E222" s="8" t="s">
        <v>286</v>
      </c>
      <c r="F222" s="30" t="n">
        <v>2</v>
      </c>
      <c r="G222" s="15" t="s">
        <v>557</v>
      </c>
    </row>
    <row r="223" customFormat="false" ht="15" hidden="false" customHeight="false" outlineLevel="0" collapsed="false">
      <c r="A223" s="8" t="s">
        <v>81</v>
      </c>
      <c r="B223" s="8" t="s">
        <v>45</v>
      </c>
      <c r="C223" s="6" t="s">
        <v>169</v>
      </c>
      <c r="D223" s="6" t="s">
        <v>290</v>
      </c>
      <c r="E223" s="8" t="s">
        <v>291</v>
      </c>
      <c r="F223" s="30" t="n">
        <v>2</v>
      </c>
      <c r="G223" s="15" t="s">
        <v>558</v>
      </c>
    </row>
    <row r="224" customFormat="false" ht="15" hidden="false" customHeight="false" outlineLevel="0" collapsed="false">
      <c r="A224" s="8" t="s">
        <v>81</v>
      </c>
      <c r="B224" s="8" t="s">
        <v>45</v>
      </c>
      <c r="C224" s="6" t="s">
        <v>169</v>
      </c>
      <c r="D224" s="6" t="s">
        <v>295</v>
      </c>
      <c r="E224" s="8" t="s">
        <v>296</v>
      </c>
      <c r="F224" s="30" t="n">
        <v>2</v>
      </c>
      <c r="G224" s="15" t="s">
        <v>559</v>
      </c>
    </row>
    <row r="225" customFormat="false" ht="15" hidden="false" customHeight="false" outlineLevel="0" collapsed="false">
      <c r="A225" s="8" t="s">
        <v>81</v>
      </c>
      <c r="B225" s="8" t="s">
        <v>45</v>
      </c>
      <c r="C225" s="6" t="s">
        <v>169</v>
      </c>
      <c r="D225" s="6" t="s">
        <v>299</v>
      </c>
      <c r="E225" s="8" t="s">
        <v>300</v>
      </c>
      <c r="F225" s="30" t="n">
        <v>1</v>
      </c>
      <c r="G225" s="15" t="s">
        <v>560</v>
      </c>
    </row>
    <row r="226" customFormat="false" ht="15" hidden="false" customHeight="false" outlineLevel="0" collapsed="false">
      <c r="A226" s="8" t="s">
        <v>81</v>
      </c>
      <c r="B226" s="8" t="s">
        <v>45</v>
      </c>
      <c r="C226" s="6" t="s">
        <v>172</v>
      </c>
      <c r="D226" s="6" t="s">
        <v>303</v>
      </c>
      <c r="E226" s="8" t="s">
        <v>304</v>
      </c>
      <c r="F226" s="30" t="n">
        <v>2</v>
      </c>
      <c r="G226" s="15" t="s">
        <v>561</v>
      </c>
    </row>
    <row r="227" customFormat="false" ht="15" hidden="false" customHeight="false" outlineLevel="0" collapsed="false">
      <c r="A227" s="8" t="s">
        <v>81</v>
      </c>
      <c r="B227" s="8" t="s">
        <v>45</v>
      </c>
      <c r="C227" s="6" t="s">
        <v>172</v>
      </c>
      <c r="D227" s="6" t="s">
        <v>307</v>
      </c>
      <c r="E227" s="8" t="s">
        <v>308</v>
      </c>
      <c r="F227" s="30" t="n">
        <v>2</v>
      </c>
      <c r="G227" s="15" t="s">
        <v>562</v>
      </c>
    </row>
    <row r="228" customFormat="false" ht="15" hidden="false" customHeight="false" outlineLevel="0" collapsed="false">
      <c r="A228" s="8" t="s">
        <v>81</v>
      </c>
      <c r="B228" s="8" t="s">
        <v>45</v>
      </c>
      <c r="C228" s="6" t="s">
        <v>172</v>
      </c>
      <c r="D228" s="6" t="s">
        <v>311</v>
      </c>
      <c r="E228" s="8" t="s">
        <v>312</v>
      </c>
      <c r="F228" s="30" t="n">
        <v>1</v>
      </c>
      <c r="G228" s="15" t="s">
        <v>563</v>
      </c>
    </row>
    <row r="229" customFormat="false" ht="15" hidden="false" customHeight="false" outlineLevel="0" collapsed="false">
      <c r="A229" s="8" t="s">
        <v>81</v>
      </c>
      <c r="B229" s="8" t="s">
        <v>45</v>
      </c>
      <c r="C229" s="6" t="s">
        <v>172</v>
      </c>
      <c r="D229" s="6" t="s">
        <v>315</v>
      </c>
      <c r="E229" s="8" t="s">
        <v>316</v>
      </c>
      <c r="F229" s="30" t="n">
        <v>2</v>
      </c>
      <c r="G229" s="15" t="s">
        <v>564</v>
      </c>
    </row>
    <row r="230" customFormat="false" ht="15" hidden="false" customHeight="false" outlineLevel="0" collapsed="false">
      <c r="A230" s="8" t="s">
        <v>81</v>
      </c>
      <c r="B230" s="8" t="s">
        <v>45</v>
      </c>
      <c r="C230" s="6" t="s">
        <v>172</v>
      </c>
      <c r="D230" s="6" t="s">
        <v>318</v>
      </c>
      <c r="E230" s="8" t="s">
        <v>319</v>
      </c>
      <c r="F230" s="30" t="n">
        <v>2</v>
      </c>
      <c r="G230" s="15" t="s">
        <v>565</v>
      </c>
    </row>
    <row r="231" customFormat="false" ht="15" hidden="false" customHeight="false" outlineLevel="0" collapsed="false">
      <c r="A231" s="8" t="s">
        <v>81</v>
      </c>
      <c r="B231" s="8" t="s">
        <v>45</v>
      </c>
      <c r="C231" s="6" t="s">
        <v>175</v>
      </c>
      <c r="D231" s="6" t="s">
        <v>324</v>
      </c>
      <c r="E231" s="8" t="s">
        <v>325</v>
      </c>
      <c r="F231" s="30" t="n">
        <v>1</v>
      </c>
      <c r="G231" s="15" t="s">
        <v>566</v>
      </c>
    </row>
    <row r="232" customFormat="false" ht="15" hidden="false" customHeight="false" outlineLevel="0" collapsed="false">
      <c r="A232" s="8" t="s">
        <v>81</v>
      </c>
      <c r="B232" s="8" t="s">
        <v>45</v>
      </c>
      <c r="C232" s="6" t="s">
        <v>175</v>
      </c>
      <c r="D232" s="6" t="s">
        <v>329</v>
      </c>
      <c r="E232" s="8" t="s">
        <v>330</v>
      </c>
      <c r="F232" s="30" t="n">
        <v>2</v>
      </c>
      <c r="G232" s="15" t="s">
        <v>567</v>
      </c>
    </row>
    <row r="233" customFormat="false" ht="15" hidden="false" customHeight="false" outlineLevel="0" collapsed="false">
      <c r="A233" s="8" t="s">
        <v>81</v>
      </c>
      <c r="B233" s="8" t="s">
        <v>45</v>
      </c>
      <c r="C233" s="6" t="s">
        <v>175</v>
      </c>
      <c r="D233" s="6" t="s">
        <v>333</v>
      </c>
      <c r="E233" s="8" t="s">
        <v>334</v>
      </c>
      <c r="F233" s="30" t="n">
        <v>1</v>
      </c>
      <c r="G233" s="15" t="s">
        <v>568</v>
      </c>
    </row>
    <row r="234" customFormat="false" ht="15" hidden="false" customHeight="false" outlineLevel="0" collapsed="false">
      <c r="A234" s="8" t="s">
        <v>85</v>
      </c>
      <c r="B234" s="8" t="s">
        <v>45</v>
      </c>
      <c r="C234" s="6" t="s">
        <v>163</v>
      </c>
      <c r="D234" s="6" t="s">
        <v>196</v>
      </c>
      <c r="E234" s="8" t="s">
        <v>197</v>
      </c>
      <c r="F234" s="30" t="n">
        <v>2</v>
      </c>
      <c r="G234" s="15" t="s">
        <v>569</v>
      </c>
    </row>
    <row r="235" customFormat="false" ht="15" hidden="false" customHeight="false" outlineLevel="0" collapsed="false">
      <c r="A235" s="8" t="s">
        <v>85</v>
      </c>
      <c r="B235" s="8" t="s">
        <v>45</v>
      </c>
      <c r="C235" s="6" t="s">
        <v>163</v>
      </c>
      <c r="D235" s="6" t="s">
        <v>201</v>
      </c>
      <c r="E235" s="8" t="s">
        <v>202</v>
      </c>
      <c r="F235" s="30" t="n">
        <v>2</v>
      </c>
      <c r="G235" s="15" t="s">
        <v>570</v>
      </c>
    </row>
    <row r="236" customFormat="false" ht="15" hidden="false" customHeight="false" outlineLevel="0" collapsed="false">
      <c r="A236" s="8" t="s">
        <v>85</v>
      </c>
      <c r="B236" s="8" t="s">
        <v>45</v>
      </c>
      <c r="C236" s="6" t="s">
        <v>163</v>
      </c>
      <c r="D236" s="6" t="s">
        <v>207</v>
      </c>
      <c r="E236" s="8" t="s">
        <v>208</v>
      </c>
      <c r="F236" s="30" t="n">
        <v>2</v>
      </c>
      <c r="G236" s="15" t="s">
        <v>571</v>
      </c>
    </row>
    <row r="237" customFormat="false" ht="28.35" hidden="false" customHeight="false" outlineLevel="0" collapsed="false">
      <c r="A237" s="8" t="s">
        <v>85</v>
      </c>
      <c r="B237" s="8" t="s">
        <v>45</v>
      </c>
      <c r="C237" s="6" t="s">
        <v>163</v>
      </c>
      <c r="D237" s="6" t="s">
        <v>213</v>
      </c>
      <c r="E237" s="8" t="s">
        <v>214</v>
      </c>
      <c r="F237" s="30" t="n">
        <v>2</v>
      </c>
      <c r="G237" s="15" t="s">
        <v>572</v>
      </c>
    </row>
    <row r="238" customFormat="false" ht="28.35" hidden="false" customHeight="false" outlineLevel="0" collapsed="false">
      <c r="A238" s="8" t="s">
        <v>85</v>
      </c>
      <c r="B238" s="8" t="s">
        <v>45</v>
      </c>
      <c r="C238" s="6" t="s">
        <v>163</v>
      </c>
      <c r="D238" s="6" t="s">
        <v>219</v>
      </c>
      <c r="E238" s="8" t="s">
        <v>220</v>
      </c>
      <c r="F238" s="30" t="n">
        <v>1</v>
      </c>
      <c r="G238" s="15" t="s">
        <v>573</v>
      </c>
    </row>
    <row r="239" customFormat="false" ht="15" hidden="false" customHeight="false" outlineLevel="0" collapsed="false">
      <c r="A239" s="8" t="s">
        <v>85</v>
      </c>
      <c r="B239" s="8" t="s">
        <v>45</v>
      </c>
      <c r="C239" s="6" t="s">
        <v>163</v>
      </c>
      <c r="D239" s="6" t="s">
        <v>225</v>
      </c>
      <c r="E239" s="8" t="s">
        <v>226</v>
      </c>
      <c r="F239" s="30" t="n">
        <v>2</v>
      </c>
      <c r="G239" s="15" t="s">
        <v>574</v>
      </c>
    </row>
    <row r="240" customFormat="false" ht="15" hidden="false" customHeight="false" outlineLevel="0" collapsed="false">
      <c r="A240" s="8" t="s">
        <v>85</v>
      </c>
      <c r="B240" s="8" t="s">
        <v>45</v>
      </c>
      <c r="C240" s="6" t="s">
        <v>163</v>
      </c>
      <c r="D240" s="6" t="s">
        <v>230</v>
      </c>
      <c r="E240" s="8" t="s">
        <v>231</v>
      </c>
      <c r="F240" s="30" t="s">
        <v>357</v>
      </c>
      <c r="G240" s="15" t="s">
        <v>575</v>
      </c>
    </row>
    <row r="241" customFormat="false" ht="28.35" hidden="false" customHeight="false" outlineLevel="0" collapsed="false">
      <c r="A241" s="8" t="s">
        <v>85</v>
      </c>
      <c r="B241" s="8" t="s">
        <v>45</v>
      </c>
      <c r="C241" s="6" t="s">
        <v>163</v>
      </c>
      <c r="D241" s="6" t="s">
        <v>236</v>
      </c>
      <c r="E241" s="8" t="s">
        <v>237</v>
      </c>
      <c r="F241" s="30" t="n">
        <v>1</v>
      </c>
      <c r="G241" s="15" t="s">
        <v>576</v>
      </c>
    </row>
    <row r="242" customFormat="false" ht="15" hidden="false" customHeight="false" outlineLevel="0" collapsed="false">
      <c r="A242" s="8" t="s">
        <v>85</v>
      </c>
      <c r="B242" s="8" t="s">
        <v>45</v>
      </c>
      <c r="C242" s="6" t="s">
        <v>166</v>
      </c>
      <c r="D242" s="6" t="s">
        <v>242</v>
      </c>
      <c r="E242" s="8" t="s">
        <v>243</v>
      </c>
      <c r="F242" s="30" t="n">
        <v>2</v>
      </c>
      <c r="G242" s="15" t="s">
        <v>577</v>
      </c>
    </row>
    <row r="243" customFormat="false" ht="15" hidden="false" customHeight="false" outlineLevel="0" collapsed="false">
      <c r="A243" s="8" t="s">
        <v>85</v>
      </c>
      <c r="B243" s="8" t="s">
        <v>45</v>
      </c>
      <c r="C243" s="6" t="s">
        <v>166</v>
      </c>
      <c r="D243" s="6" t="s">
        <v>247</v>
      </c>
      <c r="E243" s="8" t="s">
        <v>248</v>
      </c>
      <c r="F243" s="30" t="n">
        <v>2</v>
      </c>
      <c r="G243" s="15" t="s">
        <v>578</v>
      </c>
    </row>
    <row r="244" customFormat="false" ht="15" hidden="false" customHeight="false" outlineLevel="0" collapsed="false">
      <c r="A244" s="8" t="s">
        <v>85</v>
      </c>
      <c r="B244" s="8" t="s">
        <v>45</v>
      </c>
      <c r="C244" s="6" t="s">
        <v>166</v>
      </c>
      <c r="D244" s="6" t="s">
        <v>252</v>
      </c>
      <c r="E244" s="8" t="s">
        <v>253</v>
      </c>
      <c r="F244" s="30" t="n">
        <v>1</v>
      </c>
      <c r="G244" s="15" t="s">
        <v>579</v>
      </c>
    </row>
    <row r="245" customFormat="false" ht="15" hidden="false" customHeight="false" outlineLevel="0" collapsed="false">
      <c r="A245" s="8" t="s">
        <v>85</v>
      </c>
      <c r="B245" s="8" t="s">
        <v>45</v>
      </c>
      <c r="C245" s="6" t="s">
        <v>166</v>
      </c>
      <c r="D245" s="6" t="s">
        <v>257</v>
      </c>
      <c r="E245" s="8" t="s">
        <v>258</v>
      </c>
      <c r="F245" s="30" t="n">
        <v>1</v>
      </c>
      <c r="G245" s="15" t="s">
        <v>580</v>
      </c>
    </row>
    <row r="246" customFormat="false" ht="15" hidden="false" customHeight="false" outlineLevel="0" collapsed="false">
      <c r="A246" s="8" t="s">
        <v>85</v>
      </c>
      <c r="B246" s="8" t="s">
        <v>45</v>
      </c>
      <c r="C246" s="6" t="s">
        <v>166</v>
      </c>
      <c r="D246" s="6" t="s">
        <v>262</v>
      </c>
      <c r="E246" s="8" t="s">
        <v>263</v>
      </c>
      <c r="F246" s="30" t="n">
        <v>2</v>
      </c>
      <c r="G246" s="15" t="s">
        <v>581</v>
      </c>
    </row>
    <row r="247" customFormat="false" ht="15" hidden="false" customHeight="false" outlineLevel="0" collapsed="false">
      <c r="A247" s="8" t="s">
        <v>85</v>
      </c>
      <c r="B247" s="8" t="s">
        <v>45</v>
      </c>
      <c r="C247" s="6" t="s">
        <v>166</v>
      </c>
      <c r="D247" s="6" t="s">
        <v>267</v>
      </c>
      <c r="E247" s="8" t="s">
        <v>268</v>
      </c>
      <c r="F247" s="30" t="n">
        <v>1</v>
      </c>
      <c r="G247" s="15" t="s">
        <v>582</v>
      </c>
    </row>
    <row r="248" customFormat="false" ht="15" hidden="false" customHeight="false" outlineLevel="0" collapsed="false">
      <c r="A248" s="8" t="s">
        <v>85</v>
      </c>
      <c r="B248" s="8" t="s">
        <v>45</v>
      </c>
      <c r="C248" s="6" t="s">
        <v>166</v>
      </c>
      <c r="D248" s="6" t="s">
        <v>272</v>
      </c>
      <c r="E248" s="8" t="s">
        <v>273</v>
      </c>
      <c r="F248" s="30" t="n">
        <v>2</v>
      </c>
      <c r="G248" s="15" t="s">
        <v>583</v>
      </c>
    </row>
    <row r="249" customFormat="false" ht="15" hidden="false" customHeight="false" outlineLevel="0" collapsed="false">
      <c r="A249" s="8" t="s">
        <v>85</v>
      </c>
      <c r="B249" s="8" t="s">
        <v>45</v>
      </c>
      <c r="C249" s="6" t="s">
        <v>166</v>
      </c>
      <c r="D249" s="6" t="s">
        <v>276</v>
      </c>
      <c r="E249" s="8" t="s">
        <v>277</v>
      </c>
      <c r="F249" s="30" t="s">
        <v>357</v>
      </c>
      <c r="G249" s="15" t="s">
        <v>584</v>
      </c>
    </row>
    <row r="250" customFormat="false" ht="15" hidden="false" customHeight="false" outlineLevel="0" collapsed="false">
      <c r="A250" s="8" t="s">
        <v>85</v>
      </c>
      <c r="B250" s="8" t="s">
        <v>45</v>
      </c>
      <c r="C250" s="6" t="s">
        <v>169</v>
      </c>
      <c r="D250" s="6" t="s">
        <v>280</v>
      </c>
      <c r="E250" s="8" t="s">
        <v>281</v>
      </c>
      <c r="F250" s="30" t="s">
        <v>357</v>
      </c>
      <c r="G250" s="15" t="s">
        <v>585</v>
      </c>
    </row>
    <row r="251" customFormat="false" ht="15" hidden="false" customHeight="false" outlineLevel="0" collapsed="false">
      <c r="A251" s="8" t="s">
        <v>85</v>
      </c>
      <c r="B251" s="8" t="s">
        <v>45</v>
      </c>
      <c r="C251" s="6" t="s">
        <v>169</v>
      </c>
      <c r="D251" s="6" t="s">
        <v>285</v>
      </c>
      <c r="E251" s="8" t="s">
        <v>286</v>
      </c>
      <c r="F251" s="30" t="n">
        <v>1</v>
      </c>
      <c r="G251" s="15" t="s">
        <v>586</v>
      </c>
    </row>
    <row r="252" customFormat="false" ht="15" hidden="false" customHeight="false" outlineLevel="0" collapsed="false">
      <c r="A252" s="8" t="s">
        <v>85</v>
      </c>
      <c r="B252" s="8" t="s">
        <v>45</v>
      </c>
      <c r="C252" s="6" t="s">
        <v>169</v>
      </c>
      <c r="D252" s="6" t="s">
        <v>290</v>
      </c>
      <c r="E252" s="8" t="s">
        <v>291</v>
      </c>
      <c r="F252" s="30" t="n">
        <v>2</v>
      </c>
      <c r="G252" s="15" t="s">
        <v>587</v>
      </c>
    </row>
    <row r="253" customFormat="false" ht="15" hidden="false" customHeight="false" outlineLevel="0" collapsed="false">
      <c r="A253" s="8" t="s">
        <v>85</v>
      </c>
      <c r="B253" s="8" t="s">
        <v>45</v>
      </c>
      <c r="C253" s="6" t="s">
        <v>169</v>
      </c>
      <c r="D253" s="6" t="s">
        <v>295</v>
      </c>
      <c r="E253" s="8" t="s">
        <v>296</v>
      </c>
      <c r="F253" s="30" t="n">
        <v>2</v>
      </c>
      <c r="G253" s="15" t="s">
        <v>588</v>
      </c>
    </row>
    <row r="254" customFormat="false" ht="15" hidden="false" customHeight="false" outlineLevel="0" collapsed="false">
      <c r="A254" s="8" t="s">
        <v>85</v>
      </c>
      <c r="B254" s="8" t="s">
        <v>45</v>
      </c>
      <c r="C254" s="6" t="s">
        <v>169</v>
      </c>
      <c r="D254" s="6" t="s">
        <v>299</v>
      </c>
      <c r="E254" s="8" t="s">
        <v>300</v>
      </c>
      <c r="F254" s="30" t="n">
        <v>1</v>
      </c>
      <c r="G254" s="15" t="s">
        <v>589</v>
      </c>
    </row>
    <row r="255" customFormat="false" ht="15" hidden="false" customHeight="false" outlineLevel="0" collapsed="false">
      <c r="A255" s="8" t="s">
        <v>85</v>
      </c>
      <c r="B255" s="8" t="s">
        <v>45</v>
      </c>
      <c r="C255" s="6" t="s">
        <v>172</v>
      </c>
      <c r="D255" s="6" t="s">
        <v>303</v>
      </c>
      <c r="E255" s="8" t="s">
        <v>304</v>
      </c>
      <c r="F255" s="30" t="n">
        <v>2</v>
      </c>
      <c r="G255" s="15" t="s">
        <v>590</v>
      </c>
    </row>
    <row r="256" customFormat="false" ht="15" hidden="false" customHeight="false" outlineLevel="0" collapsed="false">
      <c r="A256" s="8" t="s">
        <v>85</v>
      </c>
      <c r="B256" s="8" t="s">
        <v>45</v>
      </c>
      <c r="C256" s="6" t="s">
        <v>172</v>
      </c>
      <c r="D256" s="6" t="s">
        <v>307</v>
      </c>
      <c r="E256" s="8" t="s">
        <v>308</v>
      </c>
      <c r="F256" s="30" t="n">
        <v>2</v>
      </c>
      <c r="G256" s="15" t="s">
        <v>591</v>
      </c>
    </row>
    <row r="257" customFormat="false" ht="15" hidden="false" customHeight="false" outlineLevel="0" collapsed="false">
      <c r="A257" s="8" t="s">
        <v>85</v>
      </c>
      <c r="B257" s="8" t="s">
        <v>45</v>
      </c>
      <c r="C257" s="6" t="s">
        <v>172</v>
      </c>
      <c r="D257" s="6" t="s">
        <v>311</v>
      </c>
      <c r="E257" s="8" t="s">
        <v>312</v>
      </c>
      <c r="F257" s="30" t="n">
        <v>2</v>
      </c>
      <c r="G257" s="15" t="s">
        <v>592</v>
      </c>
    </row>
    <row r="258" customFormat="false" ht="15" hidden="false" customHeight="false" outlineLevel="0" collapsed="false">
      <c r="A258" s="8" t="s">
        <v>85</v>
      </c>
      <c r="B258" s="8" t="s">
        <v>45</v>
      </c>
      <c r="C258" s="6" t="s">
        <v>172</v>
      </c>
      <c r="D258" s="6" t="s">
        <v>315</v>
      </c>
      <c r="E258" s="8" t="s">
        <v>316</v>
      </c>
      <c r="F258" s="30" t="s">
        <v>357</v>
      </c>
      <c r="G258" s="15" t="s">
        <v>593</v>
      </c>
    </row>
    <row r="259" customFormat="false" ht="15" hidden="false" customHeight="false" outlineLevel="0" collapsed="false">
      <c r="A259" s="8" t="s">
        <v>85</v>
      </c>
      <c r="B259" s="8" t="s">
        <v>45</v>
      </c>
      <c r="C259" s="6" t="s">
        <v>172</v>
      </c>
      <c r="D259" s="6" t="s">
        <v>318</v>
      </c>
      <c r="E259" s="8" t="s">
        <v>319</v>
      </c>
      <c r="F259" s="30" t="n">
        <v>2</v>
      </c>
      <c r="G259" s="15" t="s">
        <v>594</v>
      </c>
    </row>
    <row r="260" customFormat="false" ht="15" hidden="false" customHeight="false" outlineLevel="0" collapsed="false">
      <c r="A260" s="8" t="s">
        <v>85</v>
      </c>
      <c r="B260" s="8" t="s">
        <v>45</v>
      </c>
      <c r="C260" s="6" t="s">
        <v>175</v>
      </c>
      <c r="D260" s="6" t="s">
        <v>324</v>
      </c>
      <c r="E260" s="8" t="s">
        <v>325</v>
      </c>
      <c r="F260" s="30" t="n">
        <v>0</v>
      </c>
      <c r="G260" s="15" t="s">
        <v>595</v>
      </c>
    </row>
    <row r="261" customFormat="false" ht="15" hidden="false" customHeight="false" outlineLevel="0" collapsed="false">
      <c r="A261" s="8" t="s">
        <v>85</v>
      </c>
      <c r="B261" s="8" t="s">
        <v>45</v>
      </c>
      <c r="C261" s="6" t="s">
        <v>175</v>
      </c>
      <c r="D261" s="6" t="s">
        <v>329</v>
      </c>
      <c r="E261" s="8" t="s">
        <v>330</v>
      </c>
      <c r="F261" s="30" t="n">
        <v>2</v>
      </c>
      <c r="G261" s="15" t="s">
        <v>596</v>
      </c>
    </row>
    <row r="262" customFormat="false" ht="15" hidden="false" customHeight="false" outlineLevel="0" collapsed="false">
      <c r="A262" s="8" t="s">
        <v>85</v>
      </c>
      <c r="B262" s="8" t="s">
        <v>45</v>
      </c>
      <c r="C262" s="6" t="s">
        <v>175</v>
      </c>
      <c r="D262" s="6" t="s">
        <v>333</v>
      </c>
      <c r="E262" s="8" t="s">
        <v>334</v>
      </c>
      <c r="F262" s="30" t="n">
        <v>2</v>
      </c>
      <c r="G262" s="15" t="s">
        <v>597</v>
      </c>
    </row>
    <row r="263" customFormat="false" ht="15" hidden="false" customHeight="false" outlineLevel="0" collapsed="false">
      <c r="A263" s="8" t="s">
        <v>89</v>
      </c>
      <c r="B263" s="8" t="s">
        <v>45</v>
      </c>
      <c r="C263" s="6" t="s">
        <v>163</v>
      </c>
      <c r="D263" s="6" t="s">
        <v>196</v>
      </c>
      <c r="E263" s="8" t="s">
        <v>197</v>
      </c>
      <c r="F263" s="30" t="n">
        <v>2</v>
      </c>
      <c r="G263" s="15" t="s">
        <v>598</v>
      </c>
    </row>
    <row r="264" customFormat="false" ht="28.35" hidden="false" customHeight="false" outlineLevel="0" collapsed="false">
      <c r="A264" s="8" t="s">
        <v>89</v>
      </c>
      <c r="B264" s="8" t="s">
        <v>45</v>
      </c>
      <c r="C264" s="6" t="s">
        <v>163</v>
      </c>
      <c r="D264" s="6" t="s">
        <v>201</v>
      </c>
      <c r="E264" s="8" t="s">
        <v>202</v>
      </c>
      <c r="F264" s="30" t="n">
        <v>2</v>
      </c>
      <c r="G264" s="15" t="s">
        <v>599</v>
      </c>
    </row>
    <row r="265" customFormat="false" ht="15" hidden="false" customHeight="false" outlineLevel="0" collapsed="false">
      <c r="A265" s="8" t="s">
        <v>89</v>
      </c>
      <c r="B265" s="8" t="s">
        <v>45</v>
      </c>
      <c r="C265" s="6" t="s">
        <v>163</v>
      </c>
      <c r="D265" s="6" t="s">
        <v>207</v>
      </c>
      <c r="E265" s="8" t="s">
        <v>208</v>
      </c>
      <c r="F265" s="30" t="n">
        <v>2</v>
      </c>
      <c r="G265" s="15" t="s">
        <v>600</v>
      </c>
    </row>
    <row r="266" customFormat="false" ht="28.35" hidden="false" customHeight="false" outlineLevel="0" collapsed="false">
      <c r="A266" s="8" t="s">
        <v>89</v>
      </c>
      <c r="B266" s="8" t="s">
        <v>45</v>
      </c>
      <c r="C266" s="6" t="s">
        <v>163</v>
      </c>
      <c r="D266" s="6" t="s">
        <v>213</v>
      </c>
      <c r="E266" s="8" t="s">
        <v>214</v>
      </c>
      <c r="F266" s="30" t="n">
        <v>2</v>
      </c>
      <c r="G266" s="15" t="s">
        <v>601</v>
      </c>
    </row>
    <row r="267" customFormat="false" ht="15" hidden="false" customHeight="false" outlineLevel="0" collapsed="false">
      <c r="A267" s="8" t="s">
        <v>89</v>
      </c>
      <c r="B267" s="8" t="s">
        <v>45</v>
      </c>
      <c r="C267" s="6" t="s">
        <v>163</v>
      </c>
      <c r="D267" s="6" t="s">
        <v>219</v>
      </c>
      <c r="E267" s="8" t="s">
        <v>220</v>
      </c>
      <c r="F267" s="30" t="n">
        <v>1</v>
      </c>
      <c r="G267" s="15" t="s">
        <v>602</v>
      </c>
    </row>
    <row r="268" customFormat="false" ht="15" hidden="false" customHeight="false" outlineLevel="0" collapsed="false">
      <c r="A268" s="8" t="s">
        <v>89</v>
      </c>
      <c r="B268" s="8" t="s">
        <v>45</v>
      </c>
      <c r="C268" s="6" t="s">
        <v>163</v>
      </c>
      <c r="D268" s="6" t="s">
        <v>225</v>
      </c>
      <c r="E268" s="8" t="s">
        <v>226</v>
      </c>
      <c r="F268" s="30" t="n">
        <v>1</v>
      </c>
      <c r="G268" s="15" t="s">
        <v>603</v>
      </c>
    </row>
    <row r="269" customFormat="false" ht="15" hidden="false" customHeight="false" outlineLevel="0" collapsed="false">
      <c r="A269" s="8" t="s">
        <v>89</v>
      </c>
      <c r="B269" s="8" t="s">
        <v>45</v>
      </c>
      <c r="C269" s="6" t="s">
        <v>163</v>
      </c>
      <c r="D269" s="6" t="s">
        <v>230</v>
      </c>
      <c r="E269" s="8" t="s">
        <v>231</v>
      </c>
      <c r="F269" s="30" t="s">
        <v>357</v>
      </c>
      <c r="G269" s="15" t="s">
        <v>575</v>
      </c>
    </row>
    <row r="270" customFormat="false" ht="15" hidden="false" customHeight="false" outlineLevel="0" collapsed="false">
      <c r="A270" s="8" t="s">
        <v>89</v>
      </c>
      <c r="B270" s="8" t="s">
        <v>45</v>
      </c>
      <c r="C270" s="6" t="s">
        <v>163</v>
      </c>
      <c r="D270" s="6" t="s">
        <v>236</v>
      </c>
      <c r="E270" s="8" t="s">
        <v>237</v>
      </c>
      <c r="F270" s="30" t="n">
        <v>1</v>
      </c>
      <c r="G270" s="15" t="s">
        <v>604</v>
      </c>
    </row>
    <row r="271" customFormat="false" ht="28.35" hidden="false" customHeight="false" outlineLevel="0" collapsed="false">
      <c r="A271" s="8" t="s">
        <v>89</v>
      </c>
      <c r="B271" s="8" t="s">
        <v>45</v>
      </c>
      <c r="C271" s="6" t="s">
        <v>166</v>
      </c>
      <c r="D271" s="6" t="s">
        <v>242</v>
      </c>
      <c r="E271" s="8" t="s">
        <v>243</v>
      </c>
      <c r="F271" s="30" t="n">
        <v>2</v>
      </c>
      <c r="G271" s="15" t="s">
        <v>605</v>
      </c>
    </row>
    <row r="272" customFormat="false" ht="15" hidden="false" customHeight="false" outlineLevel="0" collapsed="false">
      <c r="A272" s="8" t="s">
        <v>89</v>
      </c>
      <c r="B272" s="8" t="s">
        <v>45</v>
      </c>
      <c r="C272" s="6" t="s">
        <v>166</v>
      </c>
      <c r="D272" s="6" t="s">
        <v>247</v>
      </c>
      <c r="E272" s="8" t="s">
        <v>248</v>
      </c>
      <c r="F272" s="30" t="n">
        <v>2</v>
      </c>
      <c r="G272" s="15" t="s">
        <v>606</v>
      </c>
    </row>
    <row r="273" customFormat="false" ht="15" hidden="false" customHeight="false" outlineLevel="0" collapsed="false">
      <c r="A273" s="8" t="s">
        <v>89</v>
      </c>
      <c r="B273" s="8" t="s">
        <v>45</v>
      </c>
      <c r="C273" s="6" t="s">
        <v>166</v>
      </c>
      <c r="D273" s="6" t="s">
        <v>252</v>
      </c>
      <c r="E273" s="8" t="s">
        <v>253</v>
      </c>
      <c r="F273" s="30" t="n">
        <v>2</v>
      </c>
      <c r="G273" s="15" t="s">
        <v>607</v>
      </c>
    </row>
    <row r="274" customFormat="false" ht="15" hidden="false" customHeight="false" outlineLevel="0" collapsed="false">
      <c r="A274" s="8" t="s">
        <v>89</v>
      </c>
      <c r="B274" s="8" t="s">
        <v>45</v>
      </c>
      <c r="C274" s="6" t="s">
        <v>166</v>
      </c>
      <c r="D274" s="6" t="s">
        <v>257</v>
      </c>
      <c r="E274" s="8" t="s">
        <v>258</v>
      </c>
      <c r="F274" s="30" t="n">
        <v>2</v>
      </c>
      <c r="G274" s="15" t="s">
        <v>608</v>
      </c>
    </row>
    <row r="275" customFormat="false" ht="15" hidden="false" customHeight="false" outlineLevel="0" collapsed="false">
      <c r="A275" s="8" t="s">
        <v>89</v>
      </c>
      <c r="B275" s="8" t="s">
        <v>45</v>
      </c>
      <c r="C275" s="6" t="s">
        <v>166</v>
      </c>
      <c r="D275" s="6" t="s">
        <v>262</v>
      </c>
      <c r="E275" s="8" t="s">
        <v>263</v>
      </c>
      <c r="F275" s="30" t="n">
        <v>2</v>
      </c>
      <c r="G275" s="15" t="s">
        <v>609</v>
      </c>
    </row>
    <row r="276" customFormat="false" ht="15" hidden="false" customHeight="false" outlineLevel="0" collapsed="false">
      <c r="A276" s="8" t="s">
        <v>89</v>
      </c>
      <c r="B276" s="8" t="s">
        <v>45</v>
      </c>
      <c r="C276" s="6" t="s">
        <v>166</v>
      </c>
      <c r="D276" s="6" t="s">
        <v>267</v>
      </c>
      <c r="E276" s="8" t="s">
        <v>268</v>
      </c>
      <c r="F276" s="30" t="n">
        <v>1</v>
      </c>
      <c r="G276" s="15" t="s">
        <v>610</v>
      </c>
    </row>
    <row r="277" customFormat="false" ht="15" hidden="false" customHeight="false" outlineLevel="0" collapsed="false">
      <c r="A277" s="8" t="s">
        <v>89</v>
      </c>
      <c r="B277" s="8" t="s">
        <v>45</v>
      </c>
      <c r="C277" s="6" t="s">
        <v>166</v>
      </c>
      <c r="D277" s="6" t="s">
        <v>272</v>
      </c>
      <c r="E277" s="8" t="s">
        <v>273</v>
      </c>
      <c r="F277" s="30" t="n">
        <v>2</v>
      </c>
      <c r="G277" s="15" t="s">
        <v>611</v>
      </c>
    </row>
    <row r="278" customFormat="false" ht="15" hidden="false" customHeight="false" outlineLevel="0" collapsed="false">
      <c r="A278" s="8" t="s">
        <v>89</v>
      </c>
      <c r="B278" s="8" t="s">
        <v>45</v>
      </c>
      <c r="C278" s="6" t="s">
        <v>166</v>
      </c>
      <c r="D278" s="6" t="s">
        <v>276</v>
      </c>
      <c r="E278" s="8" t="s">
        <v>277</v>
      </c>
      <c r="F278" s="30" t="n">
        <v>2</v>
      </c>
      <c r="G278" s="15" t="s">
        <v>612</v>
      </c>
    </row>
    <row r="279" customFormat="false" ht="15" hidden="false" customHeight="false" outlineLevel="0" collapsed="false">
      <c r="A279" s="8" t="s">
        <v>89</v>
      </c>
      <c r="B279" s="8" t="s">
        <v>45</v>
      </c>
      <c r="C279" s="6" t="s">
        <v>169</v>
      </c>
      <c r="D279" s="6" t="s">
        <v>280</v>
      </c>
      <c r="E279" s="8" t="s">
        <v>281</v>
      </c>
      <c r="F279" s="30" t="n">
        <v>2</v>
      </c>
      <c r="G279" s="15" t="s">
        <v>613</v>
      </c>
    </row>
    <row r="280" customFormat="false" ht="15" hidden="false" customHeight="false" outlineLevel="0" collapsed="false">
      <c r="A280" s="8" t="s">
        <v>89</v>
      </c>
      <c r="B280" s="8" t="s">
        <v>45</v>
      </c>
      <c r="C280" s="6" t="s">
        <v>169</v>
      </c>
      <c r="D280" s="6" t="s">
        <v>285</v>
      </c>
      <c r="E280" s="8" t="s">
        <v>286</v>
      </c>
      <c r="F280" s="30" t="n">
        <v>1</v>
      </c>
      <c r="G280" s="15" t="s">
        <v>614</v>
      </c>
    </row>
    <row r="281" customFormat="false" ht="15" hidden="false" customHeight="false" outlineLevel="0" collapsed="false">
      <c r="A281" s="8" t="s">
        <v>89</v>
      </c>
      <c r="B281" s="8" t="s">
        <v>45</v>
      </c>
      <c r="C281" s="6" t="s">
        <v>169</v>
      </c>
      <c r="D281" s="6" t="s">
        <v>290</v>
      </c>
      <c r="E281" s="8" t="s">
        <v>291</v>
      </c>
      <c r="F281" s="30" t="n">
        <v>1</v>
      </c>
      <c r="G281" s="15" t="s">
        <v>615</v>
      </c>
    </row>
    <row r="282" customFormat="false" ht="15" hidden="false" customHeight="false" outlineLevel="0" collapsed="false">
      <c r="A282" s="8" t="s">
        <v>89</v>
      </c>
      <c r="B282" s="8" t="s">
        <v>45</v>
      </c>
      <c r="C282" s="6" t="s">
        <v>169</v>
      </c>
      <c r="D282" s="6" t="s">
        <v>295</v>
      </c>
      <c r="E282" s="8" t="s">
        <v>296</v>
      </c>
      <c r="F282" s="30" t="n">
        <v>2</v>
      </c>
      <c r="G282" s="15" t="s">
        <v>616</v>
      </c>
    </row>
    <row r="283" customFormat="false" ht="15" hidden="false" customHeight="false" outlineLevel="0" collapsed="false">
      <c r="A283" s="8" t="s">
        <v>89</v>
      </c>
      <c r="B283" s="8" t="s">
        <v>45</v>
      </c>
      <c r="C283" s="6" t="s">
        <v>169</v>
      </c>
      <c r="D283" s="6" t="s">
        <v>299</v>
      </c>
      <c r="E283" s="8" t="s">
        <v>300</v>
      </c>
      <c r="F283" s="30" t="n">
        <v>0</v>
      </c>
      <c r="G283" s="15" t="s">
        <v>617</v>
      </c>
    </row>
    <row r="284" customFormat="false" ht="15" hidden="false" customHeight="false" outlineLevel="0" collapsed="false">
      <c r="A284" s="8" t="s">
        <v>89</v>
      </c>
      <c r="B284" s="8" t="s">
        <v>45</v>
      </c>
      <c r="C284" s="6" t="s">
        <v>172</v>
      </c>
      <c r="D284" s="6" t="s">
        <v>303</v>
      </c>
      <c r="E284" s="8" t="s">
        <v>304</v>
      </c>
      <c r="F284" s="30" t="n">
        <v>2</v>
      </c>
      <c r="G284" s="15" t="s">
        <v>618</v>
      </c>
    </row>
    <row r="285" customFormat="false" ht="15" hidden="false" customHeight="false" outlineLevel="0" collapsed="false">
      <c r="A285" s="8" t="s">
        <v>89</v>
      </c>
      <c r="B285" s="8" t="s">
        <v>45</v>
      </c>
      <c r="C285" s="6" t="s">
        <v>172</v>
      </c>
      <c r="D285" s="6" t="s">
        <v>307</v>
      </c>
      <c r="E285" s="8" t="s">
        <v>308</v>
      </c>
      <c r="F285" s="30" t="n">
        <v>2</v>
      </c>
      <c r="G285" s="15" t="s">
        <v>619</v>
      </c>
    </row>
    <row r="286" customFormat="false" ht="15" hidden="false" customHeight="false" outlineLevel="0" collapsed="false">
      <c r="A286" s="8" t="s">
        <v>89</v>
      </c>
      <c r="B286" s="8" t="s">
        <v>45</v>
      </c>
      <c r="C286" s="6" t="s">
        <v>172</v>
      </c>
      <c r="D286" s="6" t="s">
        <v>311</v>
      </c>
      <c r="E286" s="8" t="s">
        <v>312</v>
      </c>
      <c r="F286" s="30" t="n">
        <v>2</v>
      </c>
      <c r="G286" s="15" t="s">
        <v>620</v>
      </c>
    </row>
    <row r="287" customFormat="false" ht="15" hidden="false" customHeight="false" outlineLevel="0" collapsed="false">
      <c r="A287" s="8" t="s">
        <v>89</v>
      </c>
      <c r="B287" s="8" t="s">
        <v>45</v>
      </c>
      <c r="C287" s="6" t="s">
        <v>172</v>
      </c>
      <c r="D287" s="6" t="s">
        <v>315</v>
      </c>
      <c r="E287" s="8" t="s">
        <v>316</v>
      </c>
      <c r="F287" s="30" t="n">
        <v>2</v>
      </c>
      <c r="G287" s="15" t="s">
        <v>621</v>
      </c>
    </row>
    <row r="288" customFormat="false" ht="15" hidden="false" customHeight="false" outlineLevel="0" collapsed="false">
      <c r="A288" s="8" t="s">
        <v>89</v>
      </c>
      <c r="B288" s="8" t="s">
        <v>45</v>
      </c>
      <c r="C288" s="6" t="s">
        <v>172</v>
      </c>
      <c r="D288" s="6" t="s">
        <v>318</v>
      </c>
      <c r="E288" s="8" t="s">
        <v>319</v>
      </c>
      <c r="F288" s="30" t="n">
        <v>2</v>
      </c>
      <c r="G288" s="15" t="s">
        <v>622</v>
      </c>
    </row>
    <row r="289" customFormat="false" ht="15" hidden="false" customHeight="false" outlineLevel="0" collapsed="false">
      <c r="A289" s="8" t="s">
        <v>89</v>
      </c>
      <c r="B289" s="8" t="s">
        <v>45</v>
      </c>
      <c r="C289" s="6" t="s">
        <v>175</v>
      </c>
      <c r="D289" s="6" t="s">
        <v>324</v>
      </c>
      <c r="E289" s="8" t="s">
        <v>325</v>
      </c>
      <c r="F289" s="30" t="n">
        <v>1</v>
      </c>
      <c r="G289" s="15" t="s">
        <v>623</v>
      </c>
    </row>
    <row r="290" customFormat="false" ht="15" hidden="false" customHeight="false" outlineLevel="0" collapsed="false">
      <c r="A290" s="8" t="s">
        <v>89</v>
      </c>
      <c r="B290" s="8" t="s">
        <v>45</v>
      </c>
      <c r="C290" s="6" t="s">
        <v>175</v>
      </c>
      <c r="D290" s="6" t="s">
        <v>329</v>
      </c>
      <c r="E290" s="8" t="s">
        <v>330</v>
      </c>
      <c r="F290" s="30" t="n">
        <v>1</v>
      </c>
      <c r="G290" s="15" t="s">
        <v>624</v>
      </c>
    </row>
    <row r="291" customFormat="false" ht="15" hidden="false" customHeight="false" outlineLevel="0" collapsed="false">
      <c r="A291" s="8" t="s">
        <v>89</v>
      </c>
      <c r="B291" s="8" t="s">
        <v>45</v>
      </c>
      <c r="C291" s="6" t="s">
        <v>175</v>
      </c>
      <c r="D291" s="6" t="s">
        <v>333</v>
      </c>
      <c r="E291" s="8" t="s">
        <v>334</v>
      </c>
      <c r="F291" s="30" t="n">
        <v>2</v>
      </c>
      <c r="G291" s="15" t="s">
        <v>625</v>
      </c>
    </row>
    <row r="292" customFormat="false" ht="15" hidden="false" customHeight="false" outlineLevel="0" collapsed="false">
      <c r="A292" s="8" t="s">
        <v>94</v>
      </c>
      <c r="B292" s="8" t="s">
        <v>45</v>
      </c>
      <c r="C292" s="6" t="s">
        <v>163</v>
      </c>
      <c r="D292" s="6" t="s">
        <v>196</v>
      </c>
      <c r="E292" s="8" t="s">
        <v>197</v>
      </c>
      <c r="F292" s="30" t="n">
        <v>2</v>
      </c>
      <c r="G292" s="15" t="s">
        <v>626</v>
      </c>
    </row>
    <row r="293" customFormat="false" ht="28.35" hidden="false" customHeight="false" outlineLevel="0" collapsed="false">
      <c r="A293" s="8" t="s">
        <v>94</v>
      </c>
      <c r="B293" s="8" t="s">
        <v>45</v>
      </c>
      <c r="C293" s="6" t="s">
        <v>163</v>
      </c>
      <c r="D293" s="6" t="s">
        <v>201</v>
      </c>
      <c r="E293" s="8" t="s">
        <v>202</v>
      </c>
      <c r="F293" s="30" t="n">
        <v>2</v>
      </c>
      <c r="G293" s="15" t="s">
        <v>627</v>
      </c>
    </row>
    <row r="294" customFormat="false" ht="15" hidden="false" customHeight="false" outlineLevel="0" collapsed="false">
      <c r="A294" s="8" t="s">
        <v>94</v>
      </c>
      <c r="B294" s="8" t="s">
        <v>45</v>
      </c>
      <c r="C294" s="6" t="s">
        <v>163</v>
      </c>
      <c r="D294" s="6" t="s">
        <v>207</v>
      </c>
      <c r="E294" s="8" t="s">
        <v>208</v>
      </c>
      <c r="F294" s="30" t="n">
        <v>2</v>
      </c>
      <c r="G294" s="15" t="s">
        <v>628</v>
      </c>
    </row>
    <row r="295" customFormat="false" ht="15" hidden="false" customHeight="false" outlineLevel="0" collapsed="false">
      <c r="A295" s="8" t="s">
        <v>94</v>
      </c>
      <c r="B295" s="8" t="s">
        <v>45</v>
      </c>
      <c r="C295" s="6" t="s">
        <v>163</v>
      </c>
      <c r="D295" s="6" t="s">
        <v>213</v>
      </c>
      <c r="E295" s="8" t="s">
        <v>214</v>
      </c>
      <c r="F295" s="30" t="n">
        <v>2</v>
      </c>
      <c r="G295" s="15" t="s">
        <v>629</v>
      </c>
    </row>
    <row r="296" customFormat="false" ht="28.35" hidden="false" customHeight="false" outlineLevel="0" collapsed="false">
      <c r="A296" s="8" t="s">
        <v>94</v>
      </c>
      <c r="B296" s="8" t="s">
        <v>45</v>
      </c>
      <c r="C296" s="6" t="s">
        <v>163</v>
      </c>
      <c r="D296" s="6" t="s">
        <v>219</v>
      </c>
      <c r="E296" s="8" t="s">
        <v>220</v>
      </c>
      <c r="F296" s="30" t="n">
        <v>2</v>
      </c>
      <c r="G296" s="15" t="s">
        <v>630</v>
      </c>
    </row>
    <row r="297" customFormat="false" ht="15" hidden="false" customHeight="false" outlineLevel="0" collapsed="false">
      <c r="A297" s="8" t="s">
        <v>94</v>
      </c>
      <c r="B297" s="8" t="s">
        <v>45</v>
      </c>
      <c r="C297" s="6" t="s">
        <v>163</v>
      </c>
      <c r="D297" s="6" t="s">
        <v>225</v>
      </c>
      <c r="E297" s="8" t="s">
        <v>226</v>
      </c>
      <c r="F297" s="30" t="n">
        <v>2</v>
      </c>
      <c r="G297" s="15" t="s">
        <v>631</v>
      </c>
    </row>
    <row r="298" customFormat="false" ht="15" hidden="false" customHeight="false" outlineLevel="0" collapsed="false">
      <c r="A298" s="8" t="s">
        <v>94</v>
      </c>
      <c r="B298" s="8" t="s">
        <v>45</v>
      </c>
      <c r="C298" s="6" t="s">
        <v>163</v>
      </c>
      <c r="D298" s="6" t="s">
        <v>230</v>
      </c>
      <c r="E298" s="8" t="s">
        <v>231</v>
      </c>
      <c r="F298" s="30" t="s">
        <v>357</v>
      </c>
      <c r="G298" s="15" t="s">
        <v>461</v>
      </c>
    </row>
    <row r="299" customFormat="false" ht="28.35" hidden="false" customHeight="false" outlineLevel="0" collapsed="false">
      <c r="A299" s="8" t="s">
        <v>94</v>
      </c>
      <c r="B299" s="8" t="s">
        <v>45</v>
      </c>
      <c r="C299" s="6" t="s">
        <v>163</v>
      </c>
      <c r="D299" s="6" t="s">
        <v>236</v>
      </c>
      <c r="E299" s="8" t="s">
        <v>237</v>
      </c>
      <c r="F299" s="30" t="n">
        <v>2</v>
      </c>
      <c r="G299" s="15" t="s">
        <v>632</v>
      </c>
    </row>
    <row r="300" customFormat="false" ht="28.35" hidden="false" customHeight="false" outlineLevel="0" collapsed="false">
      <c r="A300" s="8" t="s">
        <v>94</v>
      </c>
      <c r="B300" s="8" t="s">
        <v>45</v>
      </c>
      <c r="C300" s="6" t="s">
        <v>166</v>
      </c>
      <c r="D300" s="6" t="s">
        <v>242</v>
      </c>
      <c r="E300" s="8" t="s">
        <v>243</v>
      </c>
      <c r="F300" s="30" t="n">
        <v>1</v>
      </c>
      <c r="G300" s="15" t="s">
        <v>633</v>
      </c>
    </row>
    <row r="301" customFormat="false" ht="15" hidden="false" customHeight="false" outlineLevel="0" collapsed="false">
      <c r="A301" s="8" t="s">
        <v>94</v>
      </c>
      <c r="B301" s="8" t="s">
        <v>45</v>
      </c>
      <c r="C301" s="6" t="s">
        <v>166</v>
      </c>
      <c r="D301" s="6" t="s">
        <v>247</v>
      </c>
      <c r="E301" s="8" t="s">
        <v>248</v>
      </c>
      <c r="F301" s="30" t="n">
        <v>1</v>
      </c>
      <c r="G301" s="15" t="s">
        <v>634</v>
      </c>
    </row>
    <row r="302" customFormat="false" ht="15" hidden="false" customHeight="false" outlineLevel="0" collapsed="false">
      <c r="A302" s="8" t="s">
        <v>94</v>
      </c>
      <c r="B302" s="8" t="s">
        <v>45</v>
      </c>
      <c r="C302" s="6" t="s">
        <v>166</v>
      </c>
      <c r="D302" s="6" t="s">
        <v>252</v>
      </c>
      <c r="E302" s="8" t="s">
        <v>253</v>
      </c>
      <c r="F302" s="30" t="n">
        <v>2</v>
      </c>
      <c r="G302" s="15" t="s">
        <v>635</v>
      </c>
    </row>
    <row r="303" customFormat="false" ht="15" hidden="false" customHeight="false" outlineLevel="0" collapsed="false">
      <c r="A303" s="8" t="s">
        <v>94</v>
      </c>
      <c r="B303" s="8" t="s">
        <v>45</v>
      </c>
      <c r="C303" s="6" t="s">
        <v>166</v>
      </c>
      <c r="D303" s="6" t="s">
        <v>257</v>
      </c>
      <c r="E303" s="8" t="s">
        <v>258</v>
      </c>
      <c r="F303" s="30" t="n">
        <v>2</v>
      </c>
      <c r="G303" s="15" t="s">
        <v>636</v>
      </c>
    </row>
    <row r="304" customFormat="false" ht="28.35" hidden="false" customHeight="false" outlineLevel="0" collapsed="false">
      <c r="A304" s="8" t="s">
        <v>94</v>
      </c>
      <c r="B304" s="8" t="s">
        <v>45</v>
      </c>
      <c r="C304" s="6" t="s">
        <v>166</v>
      </c>
      <c r="D304" s="6" t="s">
        <v>262</v>
      </c>
      <c r="E304" s="8" t="s">
        <v>263</v>
      </c>
      <c r="F304" s="30" t="n">
        <v>2</v>
      </c>
      <c r="G304" s="15" t="s">
        <v>637</v>
      </c>
    </row>
    <row r="305" customFormat="false" ht="15" hidden="false" customHeight="false" outlineLevel="0" collapsed="false">
      <c r="A305" s="8" t="s">
        <v>94</v>
      </c>
      <c r="B305" s="8" t="s">
        <v>45</v>
      </c>
      <c r="C305" s="6" t="s">
        <v>166</v>
      </c>
      <c r="D305" s="6" t="s">
        <v>267</v>
      </c>
      <c r="E305" s="8" t="s">
        <v>268</v>
      </c>
      <c r="F305" s="30" t="n">
        <v>1</v>
      </c>
      <c r="G305" s="15" t="s">
        <v>638</v>
      </c>
    </row>
    <row r="306" customFormat="false" ht="15" hidden="false" customHeight="false" outlineLevel="0" collapsed="false">
      <c r="A306" s="8" t="s">
        <v>94</v>
      </c>
      <c r="B306" s="8" t="s">
        <v>45</v>
      </c>
      <c r="C306" s="6" t="s">
        <v>166</v>
      </c>
      <c r="D306" s="6" t="s">
        <v>272</v>
      </c>
      <c r="E306" s="8" t="s">
        <v>273</v>
      </c>
      <c r="F306" s="30" t="n">
        <v>1</v>
      </c>
      <c r="G306" s="15" t="s">
        <v>639</v>
      </c>
    </row>
    <row r="307" customFormat="false" ht="15" hidden="false" customHeight="false" outlineLevel="0" collapsed="false">
      <c r="A307" s="8" t="s">
        <v>94</v>
      </c>
      <c r="B307" s="8" t="s">
        <v>45</v>
      </c>
      <c r="C307" s="6" t="s">
        <v>166</v>
      </c>
      <c r="D307" s="6" t="s">
        <v>276</v>
      </c>
      <c r="E307" s="8" t="s">
        <v>277</v>
      </c>
      <c r="F307" s="30" t="n">
        <v>2</v>
      </c>
      <c r="G307" s="15" t="s">
        <v>640</v>
      </c>
    </row>
    <row r="308" customFormat="false" ht="15" hidden="false" customHeight="false" outlineLevel="0" collapsed="false">
      <c r="A308" s="8" t="s">
        <v>94</v>
      </c>
      <c r="B308" s="8" t="s">
        <v>45</v>
      </c>
      <c r="C308" s="6" t="s">
        <v>169</v>
      </c>
      <c r="D308" s="6" t="s">
        <v>280</v>
      </c>
      <c r="E308" s="8" t="s">
        <v>281</v>
      </c>
      <c r="F308" s="30" t="n">
        <v>2</v>
      </c>
      <c r="G308" s="15" t="s">
        <v>641</v>
      </c>
    </row>
    <row r="309" customFormat="false" ht="28.35" hidden="false" customHeight="false" outlineLevel="0" collapsed="false">
      <c r="A309" s="8" t="s">
        <v>94</v>
      </c>
      <c r="B309" s="8" t="s">
        <v>45</v>
      </c>
      <c r="C309" s="6" t="s">
        <v>169</v>
      </c>
      <c r="D309" s="6" t="s">
        <v>285</v>
      </c>
      <c r="E309" s="8" t="s">
        <v>286</v>
      </c>
      <c r="F309" s="30" t="n">
        <v>2</v>
      </c>
      <c r="G309" s="15" t="s">
        <v>642</v>
      </c>
    </row>
    <row r="310" customFormat="false" ht="15" hidden="false" customHeight="false" outlineLevel="0" collapsed="false">
      <c r="A310" s="8" t="s">
        <v>94</v>
      </c>
      <c r="B310" s="8" t="s">
        <v>45</v>
      </c>
      <c r="C310" s="6" t="s">
        <v>169</v>
      </c>
      <c r="D310" s="6" t="s">
        <v>290</v>
      </c>
      <c r="E310" s="8" t="s">
        <v>291</v>
      </c>
      <c r="F310" s="30" t="s">
        <v>357</v>
      </c>
      <c r="G310" s="15" t="s">
        <v>643</v>
      </c>
    </row>
    <row r="311" customFormat="false" ht="28.35" hidden="false" customHeight="false" outlineLevel="0" collapsed="false">
      <c r="A311" s="8" t="s">
        <v>94</v>
      </c>
      <c r="B311" s="8" t="s">
        <v>45</v>
      </c>
      <c r="C311" s="6" t="s">
        <v>169</v>
      </c>
      <c r="D311" s="6" t="s">
        <v>295</v>
      </c>
      <c r="E311" s="8" t="s">
        <v>296</v>
      </c>
      <c r="F311" s="30" t="n">
        <v>2</v>
      </c>
      <c r="G311" s="15" t="s">
        <v>644</v>
      </c>
    </row>
    <row r="312" customFormat="false" ht="15" hidden="false" customHeight="false" outlineLevel="0" collapsed="false">
      <c r="A312" s="8" t="s">
        <v>94</v>
      </c>
      <c r="B312" s="8" t="s">
        <v>45</v>
      </c>
      <c r="C312" s="6" t="s">
        <v>169</v>
      </c>
      <c r="D312" s="6" t="s">
        <v>299</v>
      </c>
      <c r="E312" s="8" t="s">
        <v>300</v>
      </c>
      <c r="F312" s="30" t="n">
        <v>0</v>
      </c>
      <c r="G312" s="15" t="s">
        <v>645</v>
      </c>
    </row>
    <row r="313" customFormat="false" ht="15" hidden="false" customHeight="false" outlineLevel="0" collapsed="false">
      <c r="A313" s="8" t="s">
        <v>94</v>
      </c>
      <c r="B313" s="8" t="s">
        <v>45</v>
      </c>
      <c r="C313" s="6" t="s">
        <v>172</v>
      </c>
      <c r="D313" s="6" t="s">
        <v>303</v>
      </c>
      <c r="E313" s="8" t="s">
        <v>304</v>
      </c>
      <c r="F313" s="30" t="n">
        <v>2</v>
      </c>
      <c r="G313" s="15" t="s">
        <v>646</v>
      </c>
    </row>
    <row r="314" customFormat="false" ht="28.35" hidden="false" customHeight="false" outlineLevel="0" collapsed="false">
      <c r="A314" s="8" t="s">
        <v>94</v>
      </c>
      <c r="B314" s="8" t="s">
        <v>45</v>
      </c>
      <c r="C314" s="6" t="s">
        <v>172</v>
      </c>
      <c r="D314" s="6" t="s">
        <v>307</v>
      </c>
      <c r="E314" s="8" t="s">
        <v>308</v>
      </c>
      <c r="F314" s="30" t="n">
        <v>2</v>
      </c>
      <c r="G314" s="15" t="s">
        <v>647</v>
      </c>
    </row>
    <row r="315" customFormat="false" ht="28.35" hidden="false" customHeight="false" outlineLevel="0" collapsed="false">
      <c r="A315" s="8" t="s">
        <v>94</v>
      </c>
      <c r="B315" s="8" t="s">
        <v>45</v>
      </c>
      <c r="C315" s="6" t="s">
        <v>172</v>
      </c>
      <c r="D315" s="6" t="s">
        <v>311</v>
      </c>
      <c r="E315" s="8" t="s">
        <v>312</v>
      </c>
      <c r="F315" s="30" t="n">
        <v>2</v>
      </c>
      <c r="G315" s="15" t="s">
        <v>648</v>
      </c>
    </row>
    <row r="316" customFormat="false" ht="15" hidden="false" customHeight="false" outlineLevel="0" collapsed="false">
      <c r="A316" s="8" t="s">
        <v>94</v>
      </c>
      <c r="B316" s="8" t="s">
        <v>45</v>
      </c>
      <c r="C316" s="6" t="s">
        <v>172</v>
      </c>
      <c r="D316" s="6" t="s">
        <v>315</v>
      </c>
      <c r="E316" s="8" t="s">
        <v>316</v>
      </c>
      <c r="F316" s="30" t="s">
        <v>357</v>
      </c>
      <c r="G316" s="15" t="s">
        <v>649</v>
      </c>
    </row>
    <row r="317" customFormat="false" ht="15" hidden="false" customHeight="false" outlineLevel="0" collapsed="false">
      <c r="A317" s="8" t="s">
        <v>94</v>
      </c>
      <c r="B317" s="8" t="s">
        <v>45</v>
      </c>
      <c r="C317" s="6" t="s">
        <v>172</v>
      </c>
      <c r="D317" s="6" t="s">
        <v>318</v>
      </c>
      <c r="E317" s="8" t="s">
        <v>319</v>
      </c>
      <c r="F317" s="30" t="n">
        <v>2</v>
      </c>
      <c r="G317" s="15" t="s">
        <v>650</v>
      </c>
    </row>
    <row r="318" customFormat="false" ht="15" hidden="false" customHeight="false" outlineLevel="0" collapsed="false">
      <c r="A318" s="8" t="s">
        <v>94</v>
      </c>
      <c r="B318" s="8" t="s">
        <v>45</v>
      </c>
      <c r="C318" s="6" t="s">
        <v>175</v>
      </c>
      <c r="D318" s="6" t="s">
        <v>324</v>
      </c>
      <c r="E318" s="8" t="s">
        <v>325</v>
      </c>
      <c r="F318" s="30" t="n">
        <v>1</v>
      </c>
      <c r="G318" s="15" t="s">
        <v>651</v>
      </c>
    </row>
    <row r="319" customFormat="false" ht="15" hidden="false" customHeight="false" outlineLevel="0" collapsed="false">
      <c r="A319" s="8" t="s">
        <v>94</v>
      </c>
      <c r="B319" s="8" t="s">
        <v>45</v>
      </c>
      <c r="C319" s="6" t="s">
        <v>175</v>
      </c>
      <c r="D319" s="6" t="s">
        <v>329</v>
      </c>
      <c r="E319" s="8" t="s">
        <v>330</v>
      </c>
      <c r="F319" s="30" t="n">
        <v>0</v>
      </c>
      <c r="G319" s="15" t="s">
        <v>652</v>
      </c>
    </row>
    <row r="320" customFormat="false" ht="15" hidden="false" customHeight="false" outlineLevel="0" collapsed="false">
      <c r="A320" s="8" t="s">
        <v>94</v>
      </c>
      <c r="B320" s="8" t="s">
        <v>45</v>
      </c>
      <c r="C320" s="6" t="s">
        <v>175</v>
      </c>
      <c r="D320" s="6" t="s">
        <v>333</v>
      </c>
      <c r="E320" s="8" t="s">
        <v>334</v>
      </c>
      <c r="F320" s="30" t="n">
        <v>1</v>
      </c>
      <c r="G320" s="15" t="s">
        <v>653</v>
      </c>
    </row>
    <row r="321" customFormat="false" ht="15" hidden="false" customHeight="false" outlineLevel="0" collapsed="false">
      <c r="A321" s="8" t="s">
        <v>98</v>
      </c>
      <c r="B321" s="8" t="s">
        <v>45</v>
      </c>
      <c r="C321" s="6" t="s">
        <v>163</v>
      </c>
      <c r="D321" s="6" t="s">
        <v>196</v>
      </c>
      <c r="E321" s="8" t="s">
        <v>197</v>
      </c>
      <c r="F321" s="30" t="n">
        <v>2</v>
      </c>
      <c r="G321" s="15" t="s">
        <v>654</v>
      </c>
    </row>
    <row r="322" customFormat="false" ht="28.35" hidden="false" customHeight="false" outlineLevel="0" collapsed="false">
      <c r="A322" s="8" t="s">
        <v>98</v>
      </c>
      <c r="B322" s="8" t="s">
        <v>45</v>
      </c>
      <c r="C322" s="6" t="s">
        <v>163</v>
      </c>
      <c r="D322" s="6" t="s">
        <v>201</v>
      </c>
      <c r="E322" s="8" t="s">
        <v>202</v>
      </c>
      <c r="F322" s="30" t="n">
        <v>2</v>
      </c>
      <c r="G322" s="15" t="s">
        <v>655</v>
      </c>
    </row>
    <row r="323" customFormat="false" ht="15" hidden="false" customHeight="false" outlineLevel="0" collapsed="false">
      <c r="A323" s="8" t="s">
        <v>98</v>
      </c>
      <c r="B323" s="8" t="s">
        <v>45</v>
      </c>
      <c r="C323" s="6" t="s">
        <v>163</v>
      </c>
      <c r="D323" s="6" t="s">
        <v>207</v>
      </c>
      <c r="E323" s="8" t="s">
        <v>208</v>
      </c>
      <c r="F323" s="30" t="n">
        <v>1</v>
      </c>
      <c r="G323" s="15" t="s">
        <v>656</v>
      </c>
    </row>
    <row r="324" customFormat="false" ht="28.35" hidden="false" customHeight="false" outlineLevel="0" collapsed="false">
      <c r="A324" s="8" t="s">
        <v>98</v>
      </c>
      <c r="B324" s="8" t="s">
        <v>45</v>
      </c>
      <c r="C324" s="6" t="s">
        <v>163</v>
      </c>
      <c r="D324" s="6" t="s">
        <v>213</v>
      </c>
      <c r="E324" s="8" t="s">
        <v>214</v>
      </c>
      <c r="F324" s="30" t="n">
        <v>2</v>
      </c>
      <c r="G324" s="15" t="s">
        <v>657</v>
      </c>
    </row>
    <row r="325" customFormat="false" ht="28.35" hidden="false" customHeight="false" outlineLevel="0" collapsed="false">
      <c r="A325" s="8" t="s">
        <v>98</v>
      </c>
      <c r="B325" s="8" t="s">
        <v>45</v>
      </c>
      <c r="C325" s="6" t="s">
        <v>163</v>
      </c>
      <c r="D325" s="6" t="s">
        <v>219</v>
      </c>
      <c r="E325" s="8" t="s">
        <v>220</v>
      </c>
      <c r="F325" s="30" t="n">
        <v>2</v>
      </c>
      <c r="G325" s="15" t="s">
        <v>658</v>
      </c>
    </row>
    <row r="326" customFormat="false" ht="15" hidden="false" customHeight="false" outlineLevel="0" collapsed="false">
      <c r="A326" s="8" t="s">
        <v>98</v>
      </c>
      <c r="B326" s="8" t="s">
        <v>45</v>
      </c>
      <c r="C326" s="6" t="s">
        <v>163</v>
      </c>
      <c r="D326" s="6" t="s">
        <v>225</v>
      </c>
      <c r="E326" s="8" t="s">
        <v>226</v>
      </c>
      <c r="F326" s="30" t="n">
        <v>1</v>
      </c>
      <c r="G326" s="15" t="s">
        <v>659</v>
      </c>
    </row>
    <row r="327" customFormat="false" ht="15" hidden="false" customHeight="false" outlineLevel="0" collapsed="false">
      <c r="A327" s="8" t="s">
        <v>98</v>
      </c>
      <c r="B327" s="8" t="s">
        <v>45</v>
      </c>
      <c r="C327" s="6" t="s">
        <v>163</v>
      </c>
      <c r="D327" s="6" t="s">
        <v>230</v>
      </c>
      <c r="E327" s="8" t="s">
        <v>231</v>
      </c>
      <c r="F327" s="30" t="s">
        <v>357</v>
      </c>
      <c r="G327" s="15" t="s">
        <v>575</v>
      </c>
    </row>
    <row r="328" customFormat="false" ht="15" hidden="false" customHeight="false" outlineLevel="0" collapsed="false">
      <c r="A328" s="8" t="s">
        <v>98</v>
      </c>
      <c r="B328" s="8" t="s">
        <v>45</v>
      </c>
      <c r="C328" s="6" t="s">
        <v>163</v>
      </c>
      <c r="D328" s="6" t="s">
        <v>236</v>
      </c>
      <c r="E328" s="8" t="s">
        <v>237</v>
      </c>
      <c r="F328" s="30" t="n">
        <v>2</v>
      </c>
      <c r="G328" s="15" t="s">
        <v>660</v>
      </c>
    </row>
    <row r="329" customFormat="false" ht="15" hidden="false" customHeight="false" outlineLevel="0" collapsed="false">
      <c r="A329" s="8" t="s">
        <v>98</v>
      </c>
      <c r="B329" s="8" t="s">
        <v>45</v>
      </c>
      <c r="C329" s="6" t="s">
        <v>166</v>
      </c>
      <c r="D329" s="6" t="s">
        <v>242</v>
      </c>
      <c r="E329" s="8" t="s">
        <v>243</v>
      </c>
      <c r="F329" s="30" t="n">
        <v>2</v>
      </c>
      <c r="G329" s="15" t="s">
        <v>661</v>
      </c>
    </row>
    <row r="330" customFormat="false" ht="15" hidden="false" customHeight="false" outlineLevel="0" collapsed="false">
      <c r="A330" s="8" t="s">
        <v>98</v>
      </c>
      <c r="B330" s="8" t="s">
        <v>45</v>
      </c>
      <c r="C330" s="6" t="s">
        <v>166</v>
      </c>
      <c r="D330" s="6" t="s">
        <v>247</v>
      </c>
      <c r="E330" s="8" t="s">
        <v>248</v>
      </c>
      <c r="F330" s="30" t="n">
        <v>1</v>
      </c>
      <c r="G330" s="15" t="s">
        <v>662</v>
      </c>
    </row>
    <row r="331" customFormat="false" ht="15" hidden="false" customHeight="false" outlineLevel="0" collapsed="false">
      <c r="A331" s="8" t="s">
        <v>98</v>
      </c>
      <c r="B331" s="8" t="s">
        <v>45</v>
      </c>
      <c r="C331" s="6" t="s">
        <v>166</v>
      </c>
      <c r="D331" s="6" t="s">
        <v>252</v>
      </c>
      <c r="E331" s="8" t="s">
        <v>253</v>
      </c>
      <c r="F331" s="30" t="n">
        <v>1</v>
      </c>
      <c r="G331" s="15" t="s">
        <v>663</v>
      </c>
    </row>
    <row r="332" customFormat="false" ht="15" hidden="false" customHeight="false" outlineLevel="0" collapsed="false">
      <c r="A332" s="8" t="s">
        <v>98</v>
      </c>
      <c r="B332" s="8" t="s">
        <v>45</v>
      </c>
      <c r="C332" s="6" t="s">
        <v>166</v>
      </c>
      <c r="D332" s="6" t="s">
        <v>257</v>
      </c>
      <c r="E332" s="8" t="s">
        <v>258</v>
      </c>
      <c r="F332" s="30" t="n">
        <v>1</v>
      </c>
      <c r="G332" s="15" t="s">
        <v>664</v>
      </c>
    </row>
    <row r="333" customFormat="false" ht="15" hidden="false" customHeight="false" outlineLevel="0" collapsed="false">
      <c r="A333" s="8" t="s">
        <v>98</v>
      </c>
      <c r="B333" s="8" t="s">
        <v>45</v>
      </c>
      <c r="C333" s="6" t="s">
        <v>166</v>
      </c>
      <c r="D333" s="6" t="s">
        <v>262</v>
      </c>
      <c r="E333" s="8" t="s">
        <v>263</v>
      </c>
      <c r="F333" s="30" t="n">
        <v>1</v>
      </c>
      <c r="G333" s="15" t="s">
        <v>665</v>
      </c>
    </row>
    <row r="334" customFormat="false" ht="15" hidden="false" customHeight="false" outlineLevel="0" collapsed="false">
      <c r="A334" s="8" t="s">
        <v>98</v>
      </c>
      <c r="B334" s="8" t="s">
        <v>45</v>
      </c>
      <c r="C334" s="6" t="s">
        <v>166</v>
      </c>
      <c r="D334" s="6" t="s">
        <v>267</v>
      </c>
      <c r="E334" s="8" t="s">
        <v>268</v>
      </c>
      <c r="F334" s="30" t="n">
        <v>2</v>
      </c>
      <c r="G334" s="15" t="s">
        <v>666</v>
      </c>
    </row>
    <row r="335" customFormat="false" ht="15" hidden="false" customHeight="false" outlineLevel="0" collapsed="false">
      <c r="A335" s="8" t="s">
        <v>98</v>
      </c>
      <c r="B335" s="8" t="s">
        <v>45</v>
      </c>
      <c r="C335" s="6" t="s">
        <v>166</v>
      </c>
      <c r="D335" s="6" t="s">
        <v>272</v>
      </c>
      <c r="E335" s="8" t="s">
        <v>273</v>
      </c>
      <c r="F335" s="30" t="n">
        <v>1</v>
      </c>
      <c r="G335" s="15" t="s">
        <v>667</v>
      </c>
    </row>
    <row r="336" customFormat="false" ht="15" hidden="false" customHeight="false" outlineLevel="0" collapsed="false">
      <c r="A336" s="8" t="s">
        <v>98</v>
      </c>
      <c r="B336" s="8" t="s">
        <v>45</v>
      </c>
      <c r="C336" s="6" t="s">
        <v>166</v>
      </c>
      <c r="D336" s="6" t="s">
        <v>276</v>
      </c>
      <c r="E336" s="8" t="s">
        <v>277</v>
      </c>
      <c r="F336" s="30" t="n">
        <v>1</v>
      </c>
      <c r="G336" s="15" t="s">
        <v>668</v>
      </c>
    </row>
    <row r="337" customFormat="false" ht="15" hidden="false" customHeight="false" outlineLevel="0" collapsed="false">
      <c r="A337" s="8" t="s">
        <v>98</v>
      </c>
      <c r="B337" s="8" t="s">
        <v>45</v>
      </c>
      <c r="C337" s="6" t="s">
        <v>169</v>
      </c>
      <c r="D337" s="6" t="s">
        <v>280</v>
      </c>
      <c r="E337" s="8" t="s">
        <v>281</v>
      </c>
      <c r="F337" s="30" t="n">
        <v>1</v>
      </c>
      <c r="G337" s="15" t="s">
        <v>669</v>
      </c>
    </row>
    <row r="338" customFormat="false" ht="28.35" hidden="false" customHeight="false" outlineLevel="0" collapsed="false">
      <c r="A338" s="8" t="s">
        <v>98</v>
      </c>
      <c r="B338" s="8" t="s">
        <v>45</v>
      </c>
      <c r="C338" s="6" t="s">
        <v>169</v>
      </c>
      <c r="D338" s="6" t="s">
        <v>285</v>
      </c>
      <c r="E338" s="8" t="s">
        <v>286</v>
      </c>
      <c r="F338" s="30" t="n">
        <v>2</v>
      </c>
      <c r="G338" s="15" t="s">
        <v>670</v>
      </c>
    </row>
    <row r="339" customFormat="false" ht="15" hidden="false" customHeight="false" outlineLevel="0" collapsed="false">
      <c r="A339" s="8" t="s">
        <v>98</v>
      </c>
      <c r="B339" s="8" t="s">
        <v>45</v>
      </c>
      <c r="C339" s="6" t="s">
        <v>169</v>
      </c>
      <c r="D339" s="6" t="s">
        <v>290</v>
      </c>
      <c r="E339" s="8" t="s">
        <v>291</v>
      </c>
      <c r="F339" s="30" t="s">
        <v>357</v>
      </c>
      <c r="G339" s="15" t="s">
        <v>671</v>
      </c>
    </row>
    <row r="340" customFormat="false" ht="15" hidden="false" customHeight="false" outlineLevel="0" collapsed="false">
      <c r="A340" s="8" t="s">
        <v>98</v>
      </c>
      <c r="B340" s="8" t="s">
        <v>45</v>
      </c>
      <c r="C340" s="6" t="s">
        <v>169</v>
      </c>
      <c r="D340" s="6" t="s">
        <v>295</v>
      </c>
      <c r="E340" s="8" t="s">
        <v>296</v>
      </c>
      <c r="F340" s="30" t="n">
        <v>2</v>
      </c>
      <c r="G340" s="15" t="s">
        <v>672</v>
      </c>
    </row>
    <row r="341" customFormat="false" ht="15" hidden="false" customHeight="false" outlineLevel="0" collapsed="false">
      <c r="A341" s="8" t="s">
        <v>98</v>
      </c>
      <c r="B341" s="8" t="s">
        <v>45</v>
      </c>
      <c r="C341" s="6" t="s">
        <v>169</v>
      </c>
      <c r="D341" s="6" t="s">
        <v>299</v>
      </c>
      <c r="E341" s="8" t="s">
        <v>300</v>
      </c>
      <c r="F341" s="30" t="n">
        <v>1</v>
      </c>
      <c r="G341" s="15" t="s">
        <v>673</v>
      </c>
    </row>
    <row r="342" customFormat="false" ht="15" hidden="false" customHeight="false" outlineLevel="0" collapsed="false">
      <c r="A342" s="8" t="s">
        <v>98</v>
      </c>
      <c r="B342" s="8" t="s">
        <v>45</v>
      </c>
      <c r="C342" s="6" t="s">
        <v>172</v>
      </c>
      <c r="D342" s="6" t="s">
        <v>303</v>
      </c>
      <c r="E342" s="8" t="s">
        <v>304</v>
      </c>
      <c r="F342" s="30" t="n">
        <v>2</v>
      </c>
      <c r="G342" s="15" t="s">
        <v>674</v>
      </c>
    </row>
    <row r="343" customFormat="false" ht="15" hidden="false" customHeight="false" outlineLevel="0" collapsed="false">
      <c r="A343" s="8" t="s">
        <v>98</v>
      </c>
      <c r="B343" s="8" t="s">
        <v>45</v>
      </c>
      <c r="C343" s="6" t="s">
        <v>172</v>
      </c>
      <c r="D343" s="6" t="s">
        <v>307</v>
      </c>
      <c r="E343" s="8" t="s">
        <v>308</v>
      </c>
      <c r="F343" s="30" t="n">
        <v>2</v>
      </c>
      <c r="G343" s="15" t="s">
        <v>675</v>
      </c>
    </row>
    <row r="344" customFormat="false" ht="15" hidden="false" customHeight="false" outlineLevel="0" collapsed="false">
      <c r="A344" s="8" t="s">
        <v>98</v>
      </c>
      <c r="B344" s="8" t="s">
        <v>45</v>
      </c>
      <c r="C344" s="6" t="s">
        <v>172</v>
      </c>
      <c r="D344" s="6" t="s">
        <v>311</v>
      </c>
      <c r="E344" s="8" t="s">
        <v>312</v>
      </c>
      <c r="F344" s="30" t="n">
        <v>1</v>
      </c>
      <c r="G344" s="15" t="s">
        <v>676</v>
      </c>
    </row>
    <row r="345" customFormat="false" ht="15" hidden="false" customHeight="false" outlineLevel="0" collapsed="false">
      <c r="A345" s="8" t="s">
        <v>98</v>
      </c>
      <c r="B345" s="8" t="s">
        <v>45</v>
      </c>
      <c r="C345" s="6" t="s">
        <v>172</v>
      </c>
      <c r="D345" s="6" t="s">
        <v>315</v>
      </c>
      <c r="E345" s="8" t="s">
        <v>316</v>
      </c>
      <c r="F345" s="30" t="s">
        <v>357</v>
      </c>
      <c r="G345" s="15" t="s">
        <v>677</v>
      </c>
    </row>
    <row r="346" customFormat="false" ht="15" hidden="false" customHeight="false" outlineLevel="0" collapsed="false">
      <c r="A346" s="8" t="s">
        <v>98</v>
      </c>
      <c r="B346" s="8" t="s">
        <v>45</v>
      </c>
      <c r="C346" s="6" t="s">
        <v>172</v>
      </c>
      <c r="D346" s="6" t="s">
        <v>318</v>
      </c>
      <c r="E346" s="8" t="s">
        <v>319</v>
      </c>
      <c r="F346" s="30" t="n">
        <v>1</v>
      </c>
      <c r="G346" s="15" t="s">
        <v>678</v>
      </c>
    </row>
    <row r="347" customFormat="false" ht="15" hidden="false" customHeight="false" outlineLevel="0" collapsed="false">
      <c r="A347" s="8" t="s">
        <v>98</v>
      </c>
      <c r="B347" s="8" t="s">
        <v>45</v>
      </c>
      <c r="C347" s="6" t="s">
        <v>175</v>
      </c>
      <c r="D347" s="6" t="s">
        <v>324</v>
      </c>
      <c r="E347" s="8" t="s">
        <v>325</v>
      </c>
      <c r="F347" s="30" t="n">
        <v>2</v>
      </c>
      <c r="G347" s="15" t="s">
        <v>679</v>
      </c>
    </row>
    <row r="348" customFormat="false" ht="15" hidden="false" customHeight="false" outlineLevel="0" collapsed="false">
      <c r="A348" s="8" t="s">
        <v>98</v>
      </c>
      <c r="B348" s="8" t="s">
        <v>45</v>
      </c>
      <c r="C348" s="6" t="s">
        <v>175</v>
      </c>
      <c r="D348" s="6" t="s">
        <v>329</v>
      </c>
      <c r="E348" s="8" t="s">
        <v>330</v>
      </c>
      <c r="F348" s="30" t="n">
        <v>2</v>
      </c>
      <c r="G348" s="15" t="s">
        <v>680</v>
      </c>
    </row>
    <row r="349" customFormat="false" ht="15" hidden="false" customHeight="false" outlineLevel="0" collapsed="false">
      <c r="A349" s="8" t="s">
        <v>98</v>
      </c>
      <c r="B349" s="8" t="s">
        <v>45</v>
      </c>
      <c r="C349" s="6" t="s">
        <v>175</v>
      </c>
      <c r="D349" s="6" t="s">
        <v>333</v>
      </c>
      <c r="E349" s="8" t="s">
        <v>334</v>
      </c>
      <c r="F349" s="30" t="n">
        <v>2</v>
      </c>
      <c r="G349" s="15" t="s">
        <v>681</v>
      </c>
    </row>
    <row r="350" customFormat="false" ht="15" hidden="false" customHeight="false" outlineLevel="0" collapsed="false">
      <c r="A350" s="8" t="s">
        <v>103</v>
      </c>
      <c r="B350" s="8" t="s">
        <v>45</v>
      </c>
      <c r="C350" s="6" t="s">
        <v>163</v>
      </c>
      <c r="D350" s="6" t="s">
        <v>196</v>
      </c>
      <c r="E350" s="8" t="s">
        <v>197</v>
      </c>
      <c r="F350" s="30" t="n">
        <v>2</v>
      </c>
      <c r="G350" s="15" t="s">
        <v>682</v>
      </c>
    </row>
    <row r="351" customFormat="false" ht="15" hidden="false" customHeight="false" outlineLevel="0" collapsed="false">
      <c r="A351" s="8" t="s">
        <v>103</v>
      </c>
      <c r="B351" s="8" t="s">
        <v>45</v>
      </c>
      <c r="C351" s="6" t="s">
        <v>163</v>
      </c>
      <c r="D351" s="6" t="s">
        <v>201</v>
      </c>
      <c r="E351" s="8" t="s">
        <v>202</v>
      </c>
      <c r="F351" s="30" t="s">
        <v>357</v>
      </c>
      <c r="G351" s="15" t="s">
        <v>683</v>
      </c>
    </row>
    <row r="352" customFormat="false" ht="15" hidden="false" customHeight="false" outlineLevel="0" collapsed="false">
      <c r="A352" s="8" t="s">
        <v>103</v>
      </c>
      <c r="B352" s="8" t="s">
        <v>45</v>
      </c>
      <c r="C352" s="6" t="s">
        <v>163</v>
      </c>
      <c r="D352" s="6" t="s">
        <v>207</v>
      </c>
      <c r="E352" s="8" t="s">
        <v>208</v>
      </c>
      <c r="F352" s="30" t="s">
        <v>357</v>
      </c>
      <c r="G352" s="15" t="s">
        <v>684</v>
      </c>
    </row>
    <row r="353" customFormat="false" ht="28.35" hidden="false" customHeight="false" outlineLevel="0" collapsed="false">
      <c r="A353" s="8" t="s">
        <v>103</v>
      </c>
      <c r="B353" s="8" t="s">
        <v>45</v>
      </c>
      <c r="C353" s="6" t="s">
        <v>163</v>
      </c>
      <c r="D353" s="6" t="s">
        <v>213</v>
      </c>
      <c r="E353" s="8" t="s">
        <v>214</v>
      </c>
      <c r="F353" s="30" t="n">
        <v>1</v>
      </c>
      <c r="G353" s="15" t="s">
        <v>685</v>
      </c>
    </row>
    <row r="354" customFormat="false" ht="15" hidden="false" customHeight="false" outlineLevel="0" collapsed="false">
      <c r="A354" s="8" t="s">
        <v>103</v>
      </c>
      <c r="B354" s="8" t="s">
        <v>45</v>
      </c>
      <c r="C354" s="6" t="s">
        <v>163</v>
      </c>
      <c r="D354" s="6" t="s">
        <v>219</v>
      </c>
      <c r="E354" s="8" t="s">
        <v>220</v>
      </c>
      <c r="F354" s="30" t="s">
        <v>357</v>
      </c>
      <c r="G354" s="15" t="s">
        <v>686</v>
      </c>
    </row>
    <row r="355" customFormat="false" ht="15" hidden="false" customHeight="false" outlineLevel="0" collapsed="false">
      <c r="A355" s="8" t="s">
        <v>103</v>
      </c>
      <c r="B355" s="8" t="s">
        <v>45</v>
      </c>
      <c r="C355" s="6" t="s">
        <v>163</v>
      </c>
      <c r="D355" s="6" t="s">
        <v>225</v>
      </c>
      <c r="E355" s="8" t="s">
        <v>226</v>
      </c>
      <c r="F355" s="30" t="s">
        <v>357</v>
      </c>
      <c r="G355" s="15" t="s">
        <v>687</v>
      </c>
    </row>
    <row r="356" customFormat="false" ht="15" hidden="false" customHeight="false" outlineLevel="0" collapsed="false">
      <c r="A356" s="8" t="s">
        <v>103</v>
      </c>
      <c r="B356" s="8" t="s">
        <v>45</v>
      </c>
      <c r="C356" s="6" t="s">
        <v>163</v>
      </c>
      <c r="D356" s="6" t="s">
        <v>230</v>
      </c>
      <c r="E356" s="8" t="s">
        <v>231</v>
      </c>
      <c r="F356" s="30" t="s">
        <v>357</v>
      </c>
      <c r="G356" s="15" t="s">
        <v>575</v>
      </c>
    </row>
    <row r="357" customFormat="false" ht="15" hidden="false" customHeight="false" outlineLevel="0" collapsed="false">
      <c r="A357" s="8" t="s">
        <v>103</v>
      </c>
      <c r="B357" s="8" t="s">
        <v>45</v>
      </c>
      <c r="C357" s="6" t="s">
        <v>163</v>
      </c>
      <c r="D357" s="6" t="s">
        <v>236</v>
      </c>
      <c r="E357" s="8" t="s">
        <v>237</v>
      </c>
      <c r="F357" s="30" t="n">
        <v>1</v>
      </c>
      <c r="G357" s="15" t="s">
        <v>688</v>
      </c>
    </row>
    <row r="358" customFormat="false" ht="15" hidden="false" customHeight="false" outlineLevel="0" collapsed="false">
      <c r="A358" s="8" t="s">
        <v>103</v>
      </c>
      <c r="B358" s="8" t="s">
        <v>45</v>
      </c>
      <c r="C358" s="6" t="s">
        <v>166</v>
      </c>
      <c r="D358" s="6" t="s">
        <v>242</v>
      </c>
      <c r="E358" s="8" t="s">
        <v>243</v>
      </c>
      <c r="F358" s="30" t="n">
        <v>2</v>
      </c>
      <c r="G358" s="15" t="s">
        <v>689</v>
      </c>
    </row>
    <row r="359" customFormat="false" ht="15" hidden="false" customHeight="false" outlineLevel="0" collapsed="false">
      <c r="A359" s="8" t="s">
        <v>103</v>
      </c>
      <c r="B359" s="8" t="s">
        <v>45</v>
      </c>
      <c r="C359" s="6" t="s">
        <v>166</v>
      </c>
      <c r="D359" s="6" t="s">
        <v>247</v>
      </c>
      <c r="E359" s="8" t="s">
        <v>248</v>
      </c>
      <c r="F359" s="30" t="n">
        <v>1</v>
      </c>
      <c r="G359" s="15" t="s">
        <v>690</v>
      </c>
    </row>
    <row r="360" customFormat="false" ht="15" hidden="false" customHeight="false" outlineLevel="0" collapsed="false">
      <c r="A360" s="8" t="s">
        <v>103</v>
      </c>
      <c r="B360" s="8" t="s">
        <v>45</v>
      </c>
      <c r="C360" s="6" t="s">
        <v>166</v>
      </c>
      <c r="D360" s="6" t="s">
        <v>252</v>
      </c>
      <c r="E360" s="8" t="s">
        <v>253</v>
      </c>
      <c r="F360" s="30" t="n">
        <v>2</v>
      </c>
      <c r="G360" s="15" t="s">
        <v>691</v>
      </c>
    </row>
    <row r="361" customFormat="false" ht="15" hidden="false" customHeight="false" outlineLevel="0" collapsed="false">
      <c r="A361" s="8" t="s">
        <v>103</v>
      </c>
      <c r="B361" s="8" t="s">
        <v>45</v>
      </c>
      <c r="C361" s="6" t="s">
        <v>166</v>
      </c>
      <c r="D361" s="6" t="s">
        <v>257</v>
      </c>
      <c r="E361" s="8" t="s">
        <v>258</v>
      </c>
      <c r="F361" s="30" t="s">
        <v>357</v>
      </c>
      <c r="G361" s="15" t="s">
        <v>692</v>
      </c>
    </row>
    <row r="362" customFormat="false" ht="15" hidden="false" customHeight="false" outlineLevel="0" collapsed="false">
      <c r="A362" s="8" t="s">
        <v>103</v>
      </c>
      <c r="B362" s="8" t="s">
        <v>45</v>
      </c>
      <c r="C362" s="6" t="s">
        <v>166</v>
      </c>
      <c r="D362" s="6" t="s">
        <v>262</v>
      </c>
      <c r="E362" s="8" t="s">
        <v>263</v>
      </c>
      <c r="F362" s="30" t="n">
        <v>2</v>
      </c>
      <c r="G362" s="15" t="s">
        <v>693</v>
      </c>
    </row>
    <row r="363" customFormat="false" ht="15" hidden="false" customHeight="false" outlineLevel="0" collapsed="false">
      <c r="A363" s="8" t="s">
        <v>103</v>
      </c>
      <c r="B363" s="8" t="s">
        <v>45</v>
      </c>
      <c r="C363" s="6" t="s">
        <v>166</v>
      </c>
      <c r="D363" s="6" t="s">
        <v>267</v>
      </c>
      <c r="E363" s="8" t="s">
        <v>268</v>
      </c>
      <c r="F363" s="30" t="n">
        <v>1</v>
      </c>
      <c r="G363" s="15" t="s">
        <v>694</v>
      </c>
    </row>
    <row r="364" customFormat="false" ht="15" hidden="false" customHeight="false" outlineLevel="0" collapsed="false">
      <c r="A364" s="8" t="s">
        <v>103</v>
      </c>
      <c r="B364" s="8" t="s">
        <v>45</v>
      </c>
      <c r="C364" s="6" t="s">
        <v>166</v>
      </c>
      <c r="D364" s="6" t="s">
        <v>272</v>
      </c>
      <c r="E364" s="8" t="s">
        <v>273</v>
      </c>
      <c r="F364" s="30" t="s">
        <v>357</v>
      </c>
      <c r="G364" s="15" t="s">
        <v>695</v>
      </c>
    </row>
    <row r="365" customFormat="false" ht="15" hidden="false" customHeight="false" outlineLevel="0" collapsed="false">
      <c r="A365" s="8" t="s">
        <v>103</v>
      </c>
      <c r="B365" s="8" t="s">
        <v>45</v>
      </c>
      <c r="C365" s="6" t="s">
        <v>166</v>
      </c>
      <c r="D365" s="6" t="s">
        <v>276</v>
      </c>
      <c r="E365" s="8" t="s">
        <v>277</v>
      </c>
      <c r="F365" s="30" t="n">
        <v>1</v>
      </c>
      <c r="G365" s="15" t="s">
        <v>696</v>
      </c>
    </row>
    <row r="366" customFormat="false" ht="15" hidden="false" customHeight="false" outlineLevel="0" collapsed="false">
      <c r="A366" s="8" t="s">
        <v>103</v>
      </c>
      <c r="B366" s="8" t="s">
        <v>45</v>
      </c>
      <c r="C366" s="6" t="s">
        <v>169</v>
      </c>
      <c r="D366" s="6" t="s">
        <v>280</v>
      </c>
      <c r="E366" s="8" t="s">
        <v>281</v>
      </c>
      <c r="F366" s="30" t="n">
        <v>2</v>
      </c>
      <c r="G366" s="15" t="s">
        <v>697</v>
      </c>
    </row>
    <row r="367" customFormat="false" ht="28.35" hidden="false" customHeight="false" outlineLevel="0" collapsed="false">
      <c r="A367" s="8" t="s">
        <v>103</v>
      </c>
      <c r="B367" s="8" t="s">
        <v>45</v>
      </c>
      <c r="C367" s="6" t="s">
        <v>169</v>
      </c>
      <c r="D367" s="6" t="s">
        <v>285</v>
      </c>
      <c r="E367" s="8" t="s">
        <v>286</v>
      </c>
      <c r="F367" s="30" t="n">
        <v>1</v>
      </c>
      <c r="G367" s="15" t="s">
        <v>698</v>
      </c>
    </row>
    <row r="368" customFormat="false" ht="15" hidden="false" customHeight="false" outlineLevel="0" collapsed="false">
      <c r="A368" s="8" t="s">
        <v>103</v>
      </c>
      <c r="B368" s="8" t="s">
        <v>45</v>
      </c>
      <c r="C368" s="6" t="s">
        <v>169</v>
      </c>
      <c r="D368" s="6" t="s">
        <v>290</v>
      </c>
      <c r="E368" s="8" t="s">
        <v>291</v>
      </c>
      <c r="F368" s="30" t="s">
        <v>357</v>
      </c>
      <c r="G368" s="15" t="s">
        <v>699</v>
      </c>
    </row>
    <row r="369" customFormat="false" ht="28.35" hidden="false" customHeight="false" outlineLevel="0" collapsed="false">
      <c r="A369" s="8" t="s">
        <v>103</v>
      </c>
      <c r="B369" s="8" t="s">
        <v>45</v>
      </c>
      <c r="C369" s="6" t="s">
        <v>169</v>
      </c>
      <c r="D369" s="6" t="s">
        <v>295</v>
      </c>
      <c r="E369" s="8" t="s">
        <v>296</v>
      </c>
      <c r="F369" s="30" t="n">
        <v>2</v>
      </c>
      <c r="G369" s="15" t="s">
        <v>700</v>
      </c>
    </row>
    <row r="370" customFormat="false" ht="15" hidden="false" customHeight="false" outlineLevel="0" collapsed="false">
      <c r="A370" s="8" t="s">
        <v>103</v>
      </c>
      <c r="B370" s="8" t="s">
        <v>45</v>
      </c>
      <c r="C370" s="6" t="s">
        <v>169</v>
      </c>
      <c r="D370" s="6" t="s">
        <v>299</v>
      </c>
      <c r="E370" s="8" t="s">
        <v>300</v>
      </c>
      <c r="F370" s="30" t="n">
        <v>1</v>
      </c>
      <c r="G370" s="15" t="s">
        <v>701</v>
      </c>
    </row>
    <row r="371" customFormat="false" ht="15" hidden="false" customHeight="false" outlineLevel="0" collapsed="false">
      <c r="A371" s="8" t="s">
        <v>103</v>
      </c>
      <c r="B371" s="8" t="s">
        <v>45</v>
      </c>
      <c r="C371" s="6" t="s">
        <v>172</v>
      </c>
      <c r="D371" s="6" t="s">
        <v>303</v>
      </c>
      <c r="E371" s="8" t="s">
        <v>304</v>
      </c>
      <c r="F371" s="30" t="n">
        <v>2</v>
      </c>
      <c r="G371" s="15" t="s">
        <v>702</v>
      </c>
    </row>
    <row r="372" customFormat="false" ht="15" hidden="false" customHeight="false" outlineLevel="0" collapsed="false">
      <c r="A372" s="8" t="s">
        <v>103</v>
      </c>
      <c r="B372" s="8" t="s">
        <v>45</v>
      </c>
      <c r="C372" s="6" t="s">
        <v>172</v>
      </c>
      <c r="D372" s="6" t="s">
        <v>307</v>
      </c>
      <c r="E372" s="8" t="s">
        <v>308</v>
      </c>
      <c r="F372" s="30" t="n">
        <v>1</v>
      </c>
      <c r="G372" s="15" t="s">
        <v>703</v>
      </c>
    </row>
    <row r="373" customFormat="false" ht="15" hidden="false" customHeight="false" outlineLevel="0" collapsed="false">
      <c r="A373" s="8" t="s">
        <v>103</v>
      </c>
      <c r="B373" s="8" t="s">
        <v>45</v>
      </c>
      <c r="C373" s="6" t="s">
        <v>172</v>
      </c>
      <c r="D373" s="6" t="s">
        <v>311</v>
      </c>
      <c r="E373" s="8" t="s">
        <v>312</v>
      </c>
      <c r="F373" s="30" t="n">
        <v>2</v>
      </c>
      <c r="G373" s="15" t="s">
        <v>704</v>
      </c>
    </row>
    <row r="374" customFormat="false" ht="15" hidden="false" customHeight="false" outlineLevel="0" collapsed="false">
      <c r="A374" s="8" t="s">
        <v>103</v>
      </c>
      <c r="B374" s="8" t="s">
        <v>45</v>
      </c>
      <c r="C374" s="6" t="s">
        <v>172</v>
      </c>
      <c r="D374" s="6" t="s">
        <v>315</v>
      </c>
      <c r="E374" s="8" t="s">
        <v>316</v>
      </c>
      <c r="F374" s="30" t="s">
        <v>357</v>
      </c>
      <c r="G374" s="15" t="s">
        <v>705</v>
      </c>
    </row>
    <row r="375" customFormat="false" ht="15" hidden="false" customHeight="false" outlineLevel="0" collapsed="false">
      <c r="A375" s="8" t="s">
        <v>103</v>
      </c>
      <c r="B375" s="8" t="s">
        <v>45</v>
      </c>
      <c r="C375" s="6" t="s">
        <v>172</v>
      </c>
      <c r="D375" s="6" t="s">
        <v>318</v>
      </c>
      <c r="E375" s="8" t="s">
        <v>319</v>
      </c>
      <c r="F375" s="30" t="n">
        <v>2</v>
      </c>
      <c r="G375" s="15" t="s">
        <v>706</v>
      </c>
    </row>
    <row r="376" customFormat="false" ht="15" hidden="false" customHeight="false" outlineLevel="0" collapsed="false">
      <c r="A376" s="8" t="s">
        <v>103</v>
      </c>
      <c r="B376" s="8" t="s">
        <v>45</v>
      </c>
      <c r="C376" s="6" t="s">
        <v>175</v>
      </c>
      <c r="D376" s="6" t="s">
        <v>324</v>
      </c>
      <c r="E376" s="8" t="s">
        <v>325</v>
      </c>
      <c r="F376" s="30" t="n">
        <v>1</v>
      </c>
      <c r="G376" s="15" t="s">
        <v>707</v>
      </c>
    </row>
    <row r="377" customFormat="false" ht="15" hidden="false" customHeight="false" outlineLevel="0" collapsed="false">
      <c r="A377" s="8" t="s">
        <v>103</v>
      </c>
      <c r="B377" s="8" t="s">
        <v>45</v>
      </c>
      <c r="C377" s="6" t="s">
        <v>175</v>
      </c>
      <c r="D377" s="6" t="s">
        <v>329</v>
      </c>
      <c r="E377" s="8" t="s">
        <v>330</v>
      </c>
      <c r="F377" s="30" t="n">
        <v>2</v>
      </c>
      <c r="G377" s="15" t="s">
        <v>708</v>
      </c>
    </row>
    <row r="378" customFormat="false" ht="15" hidden="false" customHeight="false" outlineLevel="0" collapsed="false">
      <c r="A378" s="8" t="s">
        <v>103</v>
      </c>
      <c r="B378" s="8" t="s">
        <v>45</v>
      </c>
      <c r="C378" s="6" t="s">
        <v>175</v>
      </c>
      <c r="D378" s="6" t="s">
        <v>333</v>
      </c>
      <c r="E378" s="8" t="s">
        <v>334</v>
      </c>
      <c r="F378" s="30" t="n">
        <v>2</v>
      </c>
      <c r="G378" s="15" t="s">
        <v>709</v>
      </c>
    </row>
    <row r="379" customFormat="false" ht="15" hidden="false" customHeight="false" outlineLevel="0" collapsed="false">
      <c r="A379" s="8" t="s">
        <v>107</v>
      </c>
      <c r="B379" s="8" t="s">
        <v>45</v>
      </c>
      <c r="C379" s="6" t="s">
        <v>163</v>
      </c>
      <c r="D379" s="6" t="s">
        <v>196</v>
      </c>
      <c r="E379" s="8" t="s">
        <v>197</v>
      </c>
      <c r="F379" s="30" t="n">
        <v>2</v>
      </c>
      <c r="G379" s="15" t="s">
        <v>710</v>
      </c>
    </row>
    <row r="380" customFormat="false" ht="28.35" hidden="false" customHeight="false" outlineLevel="0" collapsed="false">
      <c r="A380" s="8" t="s">
        <v>107</v>
      </c>
      <c r="B380" s="8" t="s">
        <v>45</v>
      </c>
      <c r="C380" s="6" t="s">
        <v>163</v>
      </c>
      <c r="D380" s="6" t="s">
        <v>201</v>
      </c>
      <c r="E380" s="8" t="s">
        <v>202</v>
      </c>
      <c r="F380" s="30" t="n">
        <v>2</v>
      </c>
      <c r="G380" s="15" t="s">
        <v>711</v>
      </c>
    </row>
    <row r="381" customFormat="false" ht="15" hidden="false" customHeight="false" outlineLevel="0" collapsed="false">
      <c r="A381" s="8" t="s">
        <v>107</v>
      </c>
      <c r="B381" s="8" t="s">
        <v>45</v>
      </c>
      <c r="C381" s="6" t="s">
        <v>163</v>
      </c>
      <c r="D381" s="6" t="s">
        <v>207</v>
      </c>
      <c r="E381" s="8" t="s">
        <v>208</v>
      </c>
      <c r="F381" s="30" t="s">
        <v>357</v>
      </c>
      <c r="G381" s="15" t="s">
        <v>712</v>
      </c>
    </row>
    <row r="382" customFormat="false" ht="28.35" hidden="false" customHeight="false" outlineLevel="0" collapsed="false">
      <c r="A382" s="8" t="s">
        <v>107</v>
      </c>
      <c r="B382" s="8" t="s">
        <v>45</v>
      </c>
      <c r="C382" s="6" t="s">
        <v>163</v>
      </c>
      <c r="D382" s="6" t="s">
        <v>213</v>
      </c>
      <c r="E382" s="8" t="s">
        <v>214</v>
      </c>
      <c r="F382" s="30" t="n">
        <v>1</v>
      </c>
      <c r="G382" s="15" t="s">
        <v>713</v>
      </c>
    </row>
    <row r="383" customFormat="false" ht="15" hidden="false" customHeight="false" outlineLevel="0" collapsed="false">
      <c r="A383" s="8" t="s">
        <v>107</v>
      </c>
      <c r="B383" s="8" t="s">
        <v>45</v>
      </c>
      <c r="C383" s="6" t="s">
        <v>163</v>
      </c>
      <c r="D383" s="6" t="s">
        <v>219</v>
      </c>
      <c r="E383" s="8" t="s">
        <v>220</v>
      </c>
      <c r="F383" s="30" t="s">
        <v>357</v>
      </c>
      <c r="G383" s="15" t="s">
        <v>714</v>
      </c>
    </row>
    <row r="384" customFormat="false" ht="15" hidden="false" customHeight="false" outlineLevel="0" collapsed="false">
      <c r="A384" s="8" t="s">
        <v>107</v>
      </c>
      <c r="B384" s="8" t="s">
        <v>45</v>
      </c>
      <c r="C384" s="6" t="s">
        <v>163</v>
      </c>
      <c r="D384" s="6" t="s">
        <v>225</v>
      </c>
      <c r="E384" s="8" t="s">
        <v>226</v>
      </c>
      <c r="F384" s="30" t="s">
        <v>357</v>
      </c>
      <c r="G384" s="15" t="s">
        <v>715</v>
      </c>
    </row>
    <row r="385" customFormat="false" ht="15" hidden="false" customHeight="false" outlineLevel="0" collapsed="false">
      <c r="A385" s="8" t="s">
        <v>107</v>
      </c>
      <c r="B385" s="8" t="s">
        <v>45</v>
      </c>
      <c r="C385" s="6" t="s">
        <v>163</v>
      </c>
      <c r="D385" s="6" t="s">
        <v>230</v>
      </c>
      <c r="E385" s="8" t="s">
        <v>231</v>
      </c>
      <c r="F385" s="30" t="s">
        <v>357</v>
      </c>
      <c r="G385" s="15" t="s">
        <v>575</v>
      </c>
    </row>
    <row r="386" customFormat="false" ht="15" hidden="false" customHeight="false" outlineLevel="0" collapsed="false">
      <c r="A386" s="8" t="s">
        <v>107</v>
      </c>
      <c r="B386" s="8" t="s">
        <v>45</v>
      </c>
      <c r="C386" s="6" t="s">
        <v>163</v>
      </c>
      <c r="D386" s="6" t="s">
        <v>236</v>
      </c>
      <c r="E386" s="8" t="s">
        <v>237</v>
      </c>
      <c r="F386" s="30" t="n">
        <v>2</v>
      </c>
      <c r="G386" s="15" t="s">
        <v>716</v>
      </c>
    </row>
    <row r="387" customFormat="false" ht="28.35" hidden="false" customHeight="false" outlineLevel="0" collapsed="false">
      <c r="A387" s="8" t="s">
        <v>107</v>
      </c>
      <c r="B387" s="8" t="s">
        <v>45</v>
      </c>
      <c r="C387" s="6" t="s">
        <v>166</v>
      </c>
      <c r="D387" s="6" t="s">
        <v>242</v>
      </c>
      <c r="E387" s="8" t="s">
        <v>243</v>
      </c>
      <c r="F387" s="30" t="n">
        <v>2</v>
      </c>
      <c r="G387" s="15" t="s">
        <v>717</v>
      </c>
    </row>
    <row r="388" customFormat="false" ht="15" hidden="false" customHeight="false" outlineLevel="0" collapsed="false">
      <c r="A388" s="8" t="s">
        <v>107</v>
      </c>
      <c r="B388" s="8" t="s">
        <v>45</v>
      </c>
      <c r="C388" s="6" t="s">
        <v>166</v>
      </c>
      <c r="D388" s="6" t="s">
        <v>247</v>
      </c>
      <c r="E388" s="8" t="s">
        <v>248</v>
      </c>
      <c r="F388" s="30" t="n">
        <v>1</v>
      </c>
      <c r="G388" s="15" t="s">
        <v>718</v>
      </c>
    </row>
    <row r="389" customFormat="false" ht="15" hidden="false" customHeight="false" outlineLevel="0" collapsed="false">
      <c r="A389" s="8" t="s">
        <v>107</v>
      </c>
      <c r="B389" s="8" t="s">
        <v>45</v>
      </c>
      <c r="C389" s="6" t="s">
        <v>166</v>
      </c>
      <c r="D389" s="6" t="s">
        <v>252</v>
      </c>
      <c r="E389" s="8" t="s">
        <v>253</v>
      </c>
      <c r="F389" s="30" t="n">
        <v>1</v>
      </c>
      <c r="G389" s="15" t="s">
        <v>719</v>
      </c>
    </row>
    <row r="390" customFormat="false" ht="15" hidden="false" customHeight="false" outlineLevel="0" collapsed="false">
      <c r="A390" s="8" t="s">
        <v>107</v>
      </c>
      <c r="B390" s="8" t="s">
        <v>45</v>
      </c>
      <c r="C390" s="6" t="s">
        <v>166</v>
      </c>
      <c r="D390" s="6" t="s">
        <v>257</v>
      </c>
      <c r="E390" s="8" t="s">
        <v>258</v>
      </c>
      <c r="F390" s="30" t="n">
        <v>2</v>
      </c>
      <c r="G390" s="15" t="s">
        <v>720</v>
      </c>
    </row>
    <row r="391" customFormat="false" ht="15" hidden="false" customHeight="false" outlineLevel="0" collapsed="false">
      <c r="A391" s="8" t="s">
        <v>107</v>
      </c>
      <c r="B391" s="8" t="s">
        <v>45</v>
      </c>
      <c r="C391" s="6" t="s">
        <v>166</v>
      </c>
      <c r="D391" s="6" t="s">
        <v>262</v>
      </c>
      <c r="E391" s="8" t="s">
        <v>263</v>
      </c>
      <c r="F391" s="30" t="n">
        <v>2</v>
      </c>
      <c r="G391" s="15" t="s">
        <v>721</v>
      </c>
    </row>
    <row r="392" customFormat="false" ht="15" hidden="false" customHeight="false" outlineLevel="0" collapsed="false">
      <c r="A392" s="8" t="s">
        <v>107</v>
      </c>
      <c r="B392" s="8" t="s">
        <v>45</v>
      </c>
      <c r="C392" s="6" t="s">
        <v>166</v>
      </c>
      <c r="D392" s="6" t="s">
        <v>267</v>
      </c>
      <c r="E392" s="8" t="s">
        <v>268</v>
      </c>
      <c r="F392" s="30" t="n">
        <v>1</v>
      </c>
      <c r="G392" s="15" t="s">
        <v>722</v>
      </c>
    </row>
    <row r="393" customFormat="false" ht="15" hidden="false" customHeight="false" outlineLevel="0" collapsed="false">
      <c r="A393" s="8" t="s">
        <v>107</v>
      </c>
      <c r="B393" s="8" t="s">
        <v>45</v>
      </c>
      <c r="C393" s="6" t="s">
        <v>166</v>
      </c>
      <c r="D393" s="6" t="s">
        <v>272</v>
      </c>
      <c r="E393" s="8" t="s">
        <v>273</v>
      </c>
      <c r="F393" s="30" t="n">
        <v>1</v>
      </c>
      <c r="G393" s="15" t="s">
        <v>723</v>
      </c>
    </row>
    <row r="394" customFormat="false" ht="15" hidden="false" customHeight="false" outlineLevel="0" collapsed="false">
      <c r="A394" s="8" t="s">
        <v>107</v>
      </c>
      <c r="B394" s="8" t="s">
        <v>45</v>
      </c>
      <c r="C394" s="6" t="s">
        <v>166</v>
      </c>
      <c r="D394" s="6" t="s">
        <v>276</v>
      </c>
      <c r="E394" s="8" t="s">
        <v>277</v>
      </c>
      <c r="F394" s="30" t="n">
        <v>1</v>
      </c>
      <c r="G394" s="15" t="s">
        <v>724</v>
      </c>
    </row>
    <row r="395" customFormat="false" ht="15" hidden="false" customHeight="false" outlineLevel="0" collapsed="false">
      <c r="A395" s="8" t="s">
        <v>107</v>
      </c>
      <c r="B395" s="8" t="s">
        <v>45</v>
      </c>
      <c r="C395" s="6" t="s">
        <v>169</v>
      </c>
      <c r="D395" s="6" t="s">
        <v>280</v>
      </c>
      <c r="E395" s="8" t="s">
        <v>281</v>
      </c>
      <c r="F395" s="30" t="n">
        <v>2</v>
      </c>
      <c r="G395" s="15" t="s">
        <v>725</v>
      </c>
    </row>
    <row r="396" customFormat="false" ht="15" hidden="false" customHeight="false" outlineLevel="0" collapsed="false">
      <c r="A396" s="8" t="s">
        <v>107</v>
      </c>
      <c r="B396" s="8" t="s">
        <v>45</v>
      </c>
      <c r="C396" s="6" t="s">
        <v>169</v>
      </c>
      <c r="D396" s="6" t="s">
        <v>285</v>
      </c>
      <c r="E396" s="8" t="s">
        <v>286</v>
      </c>
      <c r="F396" s="30" t="s">
        <v>357</v>
      </c>
      <c r="G396" s="15" t="s">
        <v>726</v>
      </c>
    </row>
    <row r="397" customFormat="false" ht="15" hidden="false" customHeight="false" outlineLevel="0" collapsed="false">
      <c r="A397" s="8" t="s">
        <v>107</v>
      </c>
      <c r="B397" s="8" t="s">
        <v>45</v>
      </c>
      <c r="C397" s="6" t="s">
        <v>169</v>
      </c>
      <c r="D397" s="6" t="s">
        <v>290</v>
      </c>
      <c r="E397" s="8" t="s">
        <v>291</v>
      </c>
      <c r="F397" s="30" t="s">
        <v>357</v>
      </c>
      <c r="G397" s="15" t="s">
        <v>727</v>
      </c>
    </row>
    <row r="398" customFormat="false" ht="15" hidden="false" customHeight="false" outlineLevel="0" collapsed="false">
      <c r="A398" s="8" t="s">
        <v>107</v>
      </c>
      <c r="B398" s="8" t="s">
        <v>45</v>
      </c>
      <c r="C398" s="6" t="s">
        <v>169</v>
      </c>
      <c r="D398" s="6" t="s">
        <v>295</v>
      </c>
      <c r="E398" s="8" t="s">
        <v>296</v>
      </c>
      <c r="F398" s="30" t="n">
        <v>2</v>
      </c>
      <c r="G398" s="15" t="s">
        <v>728</v>
      </c>
    </row>
    <row r="399" customFormat="false" ht="15" hidden="false" customHeight="false" outlineLevel="0" collapsed="false">
      <c r="A399" s="8" t="s">
        <v>107</v>
      </c>
      <c r="B399" s="8" t="s">
        <v>45</v>
      </c>
      <c r="C399" s="6" t="s">
        <v>169</v>
      </c>
      <c r="D399" s="6" t="s">
        <v>299</v>
      </c>
      <c r="E399" s="8" t="s">
        <v>300</v>
      </c>
      <c r="F399" s="30" t="n">
        <v>1</v>
      </c>
      <c r="G399" s="15" t="s">
        <v>729</v>
      </c>
    </row>
    <row r="400" customFormat="false" ht="15" hidden="false" customHeight="false" outlineLevel="0" collapsed="false">
      <c r="A400" s="8" t="s">
        <v>107</v>
      </c>
      <c r="B400" s="8" t="s">
        <v>45</v>
      </c>
      <c r="C400" s="6" t="s">
        <v>172</v>
      </c>
      <c r="D400" s="6" t="s">
        <v>303</v>
      </c>
      <c r="E400" s="8" t="s">
        <v>304</v>
      </c>
      <c r="F400" s="30" t="n">
        <v>1</v>
      </c>
      <c r="G400" s="15" t="s">
        <v>730</v>
      </c>
    </row>
    <row r="401" customFormat="false" ht="15" hidden="false" customHeight="false" outlineLevel="0" collapsed="false">
      <c r="A401" s="8" t="s">
        <v>107</v>
      </c>
      <c r="B401" s="8" t="s">
        <v>45</v>
      </c>
      <c r="C401" s="6" t="s">
        <v>172</v>
      </c>
      <c r="D401" s="6" t="s">
        <v>307</v>
      </c>
      <c r="E401" s="8" t="s">
        <v>308</v>
      </c>
      <c r="F401" s="30" t="s">
        <v>357</v>
      </c>
      <c r="G401" s="15" t="s">
        <v>731</v>
      </c>
    </row>
    <row r="402" customFormat="false" ht="15" hidden="false" customHeight="false" outlineLevel="0" collapsed="false">
      <c r="A402" s="8" t="s">
        <v>107</v>
      </c>
      <c r="B402" s="8" t="s">
        <v>45</v>
      </c>
      <c r="C402" s="6" t="s">
        <v>172</v>
      </c>
      <c r="D402" s="6" t="s">
        <v>311</v>
      </c>
      <c r="E402" s="8" t="s">
        <v>312</v>
      </c>
      <c r="F402" s="30" t="s">
        <v>357</v>
      </c>
      <c r="G402" s="15" t="s">
        <v>732</v>
      </c>
    </row>
    <row r="403" customFormat="false" ht="15" hidden="false" customHeight="false" outlineLevel="0" collapsed="false">
      <c r="A403" s="8" t="s">
        <v>107</v>
      </c>
      <c r="B403" s="8" t="s">
        <v>45</v>
      </c>
      <c r="C403" s="6" t="s">
        <v>172</v>
      </c>
      <c r="D403" s="6" t="s">
        <v>315</v>
      </c>
      <c r="E403" s="8" t="s">
        <v>316</v>
      </c>
      <c r="F403" s="30" t="n">
        <v>2</v>
      </c>
      <c r="G403" s="15" t="s">
        <v>733</v>
      </c>
    </row>
    <row r="404" customFormat="false" ht="15" hidden="false" customHeight="false" outlineLevel="0" collapsed="false">
      <c r="A404" s="8" t="s">
        <v>107</v>
      </c>
      <c r="B404" s="8" t="s">
        <v>45</v>
      </c>
      <c r="C404" s="6" t="s">
        <v>172</v>
      </c>
      <c r="D404" s="6" t="s">
        <v>318</v>
      </c>
      <c r="E404" s="8" t="s">
        <v>319</v>
      </c>
      <c r="F404" s="30" t="n">
        <v>1</v>
      </c>
      <c r="G404" s="15" t="s">
        <v>734</v>
      </c>
    </row>
    <row r="405" customFormat="false" ht="15" hidden="false" customHeight="false" outlineLevel="0" collapsed="false">
      <c r="A405" s="8" t="s">
        <v>107</v>
      </c>
      <c r="B405" s="8" t="s">
        <v>45</v>
      </c>
      <c r="C405" s="6" t="s">
        <v>175</v>
      </c>
      <c r="D405" s="6" t="s">
        <v>324</v>
      </c>
      <c r="E405" s="8" t="s">
        <v>325</v>
      </c>
      <c r="F405" s="30" t="s">
        <v>357</v>
      </c>
      <c r="G405" s="15" t="s">
        <v>735</v>
      </c>
    </row>
    <row r="406" customFormat="false" ht="15" hidden="false" customHeight="false" outlineLevel="0" collapsed="false">
      <c r="A406" s="8" t="s">
        <v>107</v>
      </c>
      <c r="B406" s="8" t="s">
        <v>45</v>
      </c>
      <c r="C406" s="6" t="s">
        <v>175</v>
      </c>
      <c r="D406" s="6" t="s">
        <v>329</v>
      </c>
      <c r="E406" s="8" t="s">
        <v>330</v>
      </c>
      <c r="F406" s="30" t="s">
        <v>357</v>
      </c>
      <c r="G406" s="15" t="s">
        <v>736</v>
      </c>
    </row>
    <row r="407" customFormat="false" ht="15" hidden="false" customHeight="false" outlineLevel="0" collapsed="false">
      <c r="A407" s="8" t="s">
        <v>107</v>
      </c>
      <c r="B407" s="8" t="s">
        <v>45</v>
      </c>
      <c r="C407" s="6" t="s">
        <v>175</v>
      </c>
      <c r="D407" s="6" t="s">
        <v>333</v>
      </c>
      <c r="E407" s="8" t="s">
        <v>334</v>
      </c>
      <c r="F407" s="30" t="n">
        <v>1</v>
      </c>
      <c r="G407" s="15" t="s">
        <v>737</v>
      </c>
    </row>
    <row r="408" customFormat="false" ht="15" hidden="false" customHeight="false" outlineLevel="0" collapsed="false">
      <c r="A408" s="8" t="s">
        <v>112</v>
      </c>
      <c r="B408" s="8" t="s">
        <v>45</v>
      </c>
      <c r="C408" s="6" t="s">
        <v>163</v>
      </c>
      <c r="D408" s="6" t="s">
        <v>196</v>
      </c>
      <c r="E408" s="8" t="s">
        <v>197</v>
      </c>
      <c r="F408" s="30" t="n">
        <v>2</v>
      </c>
      <c r="G408" s="15" t="s">
        <v>738</v>
      </c>
    </row>
    <row r="409" customFormat="false" ht="15" hidden="false" customHeight="false" outlineLevel="0" collapsed="false">
      <c r="A409" s="8" t="s">
        <v>112</v>
      </c>
      <c r="B409" s="8" t="s">
        <v>45</v>
      </c>
      <c r="C409" s="6" t="s">
        <v>163</v>
      </c>
      <c r="D409" s="6" t="s">
        <v>201</v>
      </c>
      <c r="E409" s="8" t="s">
        <v>202</v>
      </c>
      <c r="F409" s="30" t="n">
        <v>1</v>
      </c>
      <c r="G409" s="15" t="s">
        <v>739</v>
      </c>
    </row>
    <row r="410" customFormat="false" ht="15" hidden="false" customHeight="false" outlineLevel="0" collapsed="false">
      <c r="A410" s="8" t="s">
        <v>112</v>
      </c>
      <c r="B410" s="8" t="s">
        <v>45</v>
      </c>
      <c r="C410" s="6" t="s">
        <v>163</v>
      </c>
      <c r="D410" s="6" t="s">
        <v>207</v>
      </c>
      <c r="E410" s="8" t="s">
        <v>208</v>
      </c>
      <c r="F410" s="30" t="n">
        <v>0</v>
      </c>
      <c r="G410" s="15" t="s">
        <v>740</v>
      </c>
    </row>
    <row r="411" customFormat="false" ht="15" hidden="false" customHeight="false" outlineLevel="0" collapsed="false">
      <c r="A411" s="8" t="s">
        <v>112</v>
      </c>
      <c r="B411" s="8" t="s">
        <v>45</v>
      </c>
      <c r="C411" s="6" t="s">
        <v>163</v>
      </c>
      <c r="D411" s="6" t="s">
        <v>213</v>
      </c>
      <c r="E411" s="8" t="s">
        <v>214</v>
      </c>
      <c r="F411" s="30" t="n">
        <v>2</v>
      </c>
      <c r="G411" s="15" t="s">
        <v>741</v>
      </c>
    </row>
    <row r="412" customFormat="false" ht="15" hidden="false" customHeight="false" outlineLevel="0" collapsed="false">
      <c r="A412" s="8" t="s">
        <v>112</v>
      </c>
      <c r="B412" s="8" t="s">
        <v>45</v>
      </c>
      <c r="C412" s="6" t="s">
        <v>163</v>
      </c>
      <c r="D412" s="6" t="s">
        <v>219</v>
      </c>
      <c r="E412" s="8" t="s">
        <v>220</v>
      </c>
      <c r="F412" s="30" t="s">
        <v>357</v>
      </c>
      <c r="G412" s="15" t="s">
        <v>742</v>
      </c>
    </row>
    <row r="413" customFormat="false" ht="15" hidden="false" customHeight="false" outlineLevel="0" collapsed="false">
      <c r="A413" s="8" t="s">
        <v>112</v>
      </c>
      <c r="B413" s="8" t="s">
        <v>45</v>
      </c>
      <c r="C413" s="6" t="s">
        <v>163</v>
      </c>
      <c r="D413" s="6" t="s">
        <v>225</v>
      </c>
      <c r="E413" s="8" t="s">
        <v>226</v>
      </c>
      <c r="F413" s="30" t="s">
        <v>357</v>
      </c>
      <c r="G413" s="15" t="s">
        <v>743</v>
      </c>
    </row>
    <row r="414" customFormat="false" ht="15" hidden="false" customHeight="false" outlineLevel="0" collapsed="false">
      <c r="A414" s="8" t="s">
        <v>112</v>
      </c>
      <c r="B414" s="8" t="s">
        <v>45</v>
      </c>
      <c r="C414" s="6" t="s">
        <v>163</v>
      </c>
      <c r="D414" s="6" t="s">
        <v>230</v>
      </c>
      <c r="E414" s="8" t="s">
        <v>231</v>
      </c>
      <c r="F414" s="30" t="s">
        <v>357</v>
      </c>
      <c r="G414" s="15" t="s">
        <v>575</v>
      </c>
    </row>
    <row r="415" customFormat="false" ht="15" hidden="false" customHeight="false" outlineLevel="0" collapsed="false">
      <c r="A415" s="8" t="s">
        <v>112</v>
      </c>
      <c r="B415" s="8" t="s">
        <v>45</v>
      </c>
      <c r="C415" s="6" t="s">
        <v>163</v>
      </c>
      <c r="D415" s="6" t="s">
        <v>236</v>
      </c>
      <c r="E415" s="8" t="s">
        <v>237</v>
      </c>
      <c r="F415" s="30" t="n">
        <v>2</v>
      </c>
      <c r="G415" s="15" t="s">
        <v>744</v>
      </c>
    </row>
    <row r="416" customFormat="false" ht="15" hidden="false" customHeight="false" outlineLevel="0" collapsed="false">
      <c r="A416" s="8" t="s">
        <v>112</v>
      </c>
      <c r="B416" s="8" t="s">
        <v>45</v>
      </c>
      <c r="C416" s="6" t="s">
        <v>166</v>
      </c>
      <c r="D416" s="6" t="s">
        <v>242</v>
      </c>
      <c r="E416" s="8" t="s">
        <v>243</v>
      </c>
      <c r="F416" s="30" t="n">
        <v>2</v>
      </c>
      <c r="G416" s="15" t="s">
        <v>745</v>
      </c>
    </row>
    <row r="417" customFormat="false" ht="15" hidden="false" customHeight="false" outlineLevel="0" collapsed="false">
      <c r="A417" s="8" t="s">
        <v>112</v>
      </c>
      <c r="B417" s="8" t="s">
        <v>45</v>
      </c>
      <c r="C417" s="6" t="s">
        <v>166</v>
      </c>
      <c r="D417" s="6" t="s">
        <v>247</v>
      </c>
      <c r="E417" s="8" t="s">
        <v>248</v>
      </c>
      <c r="F417" s="30" t="n">
        <v>1</v>
      </c>
      <c r="G417" s="15" t="s">
        <v>746</v>
      </c>
    </row>
    <row r="418" customFormat="false" ht="15" hidden="false" customHeight="false" outlineLevel="0" collapsed="false">
      <c r="A418" s="8" t="s">
        <v>112</v>
      </c>
      <c r="B418" s="8" t="s">
        <v>45</v>
      </c>
      <c r="C418" s="6" t="s">
        <v>166</v>
      </c>
      <c r="D418" s="6" t="s">
        <v>252</v>
      </c>
      <c r="E418" s="8" t="s">
        <v>253</v>
      </c>
      <c r="F418" s="30" t="s">
        <v>357</v>
      </c>
      <c r="G418" s="15" t="s">
        <v>747</v>
      </c>
    </row>
    <row r="419" customFormat="false" ht="15" hidden="false" customHeight="false" outlineLevel="0" collapsed="false">
      <c r="A419" s="8" t="s">
        <v>112</v>
      </c>
      <c r="B419" s="8" t="s">
        <v>45</v>
      </c>
      <c r="C419" s="6" t="s">
        <v>166</v>
      </c>
      <c r="D419" s="6" t="s">
        <v>257</v>
      </c>
      <c r="E419" s="8" t="s">
        <v>258</v>
      </c>
      <c r="F419" s="30" t="n">
        <v>2</v>
      </c>
      <c r="G419" s="15" t="s">
        <v>748</v>
      </c>
    </row>
    <row r="420" customFormat="false" ht="15" hidden="false" customHeight="false" outlineLevel="0" collapsed="false">
      <c r="A420" s="8" t="s">
        <v>112</v>
      </c>
      <c r="B420" s="8" t="s">
        <v>45</v>
      </c>
      <c r="C420" s="6" t="s">
        <v>166</v>
      </c>
      <c r="D420" s="6" t="s">
        <v>262</v>
      </c>
      <c r="E420" s="8" t="s">
        <v>263</v>
      </c>
      <c r="F420" s="30" t="n">
        <v>1</v>
      </c>
      <c r="G420" s="15" t="s">
        <v>749</v>
      </c>
    </row>
    <row r="421" customFormat="false" ht="15" hidden="false" customHeight="false" outlineLevel="0" collapsed="false">
      <c r="A421" s="8" t="s">
        <v>112</v>
      </c>
      <c r="B421" s="8" t="s">
        <v>45</v>
      </c>
      <c r="C421" s="6" t="s">
        <v>166</v>
      </c>
      <c r="D421" s="6" t="s">
        <v>267</v>
      </c>
      <c r="E421" s="8" t="s">
        <v>268</v>
      </c>
      <c r="F421" s="30" t="n">
        <v>1</v>
      </c>
      <c r="G421" s="15" t="s">
        <v>750</v>
      </c>
    </row>
    <row r="422" customFormat="false" ht="15" hidden="false" customHeight="false" outlineLevel="0" collapsed="false">
      <c r="A422" s="8" t="s">
        <v>112</v>
      </c>
      <c r="B422" s="8" t="s">
        <v>45</v>
      </c>
      <c r="C422" s="6" t="s">
        <v>166</v>
      </c>
      <c r="D422" s="6" t="s">
        <v>272</v>
      </c>
      <c r="E422" s="8" t="s">
        <v>273</v>
      </c>
      <c r="F422" s="30" t="n">
        <v>2</v>
      </c>
      <c r="G422" s="15" t="s">
        <v>751</v>
      </c>
    </row>
    <row r="423" customFormat="false" ht="15" hidden="false" customHeight="false" outlineLevel="0" collapsed="false">
      <c r="A423" s="8" t="s">
        <v>112</v>
      </c>
      <c r="B423" s="8" t="s">
        <v>45</v>
      </c>
      <c r="C423" s="6" t="s">
        <v>166</v>
      </c>
      <c r="D423" s="6" t="s">
        <v>276</v>
      </c>
      <c r="E423" s="8" t="s">
        <v>277</v>
      </c>
      <c r="F423" s="30" t="n">
        <v>2</v>
      </c>
      <c r="G423" s="15" t="s">
        <v>752</v>
      </c>
    </row>
    <row r="424" customFormat="false" ht="15" hidden="false" customHeight="false" outlineLevel="0" collapsed="false">
      <c r="A424" s="8" t="s">
        <v>112</v>
      </c>
      <c r="B424" s="8" t="s">
        <v>45</v>
      </c>
      <c r="C424" s="6" t="s">
        <v>169</v>
      </c>
      <c r="D424" s="6" t="s">
        <v>280</v>
      </c>
      <c r="E424" s="8" t="s">
        <v>281</v>
      </c>
      <c r="F424" s="30" t="n">
        <v>2</v>
      </c>
      <c r="G424" s="15" t="s">
        <v>753</v>
      </c>
    </row>
    <row r="425" customFormat="false" ht="15" hidden="false" customHeight="false" outlineLevel="0" collapsed="false">
      <c r="A425" s="8" t="s">
        <v>112</v>
      </c>
      <c r="B425" s="8" t="s">
        <v>45</v>
      </c>
      <c r="C425" s="6" t="s">
        <v>169</v>
      </c>
      <c r="D425" s="6" t="s">
        <v>285</v>
      </c>
      <c r="E425" s="8" t="s">
        <v>286</v>
      </c>
      <c r="F425" s="30" t="n">
        <v>1</v>
      </c>
      <c r="G425" s="15" t="s">
        <v>754</v>
      </c>
    </row>
    <row r="426" customFormat="false" ht="15" hidden="false" customHeight="false" outlineLevel="0" collapsed="false">
      <c r="A426" s="8" t="s">
        <v>112</v>
      </c>
      <c r="B426" s="8" t="s">
        <v>45</v>
      </c>
      <c r="C426" s="6" t="s">
        <v>169</v>
      </c>
      <c r="D426" s="6" t="s">
        <v>290</v>
      </c>
      <c r="E426" s="8" t="s">
        <v>291</v>
      </c>
      <c r="F426" s="30" t="n">
        <v>2</v>
      </c>
      <c r="G426" s="15" t="s">
        <v>755</v>
      </c>
    </row>
    <row r="427" customFormat="false" ht="15" hidden="false" customHeight="false" outlineLevel="0" collapsed="false">
      <c r="A427" s="8" t="s">
        <v>112</v>
      </c>
      <c r="B427" s="8" t="s">
        <v>45</v>
      </c>
      <c r="C427" s="6" t="s">
        <v>169</v>
      </c>
      <c r="D427" s="6" t="s">
        <v>295</v>
      </c>
      <c r="E427" s="8" t="s">
        <v>296</v>
      </c>
      <c r="F427" s="30" t="s">
        <v>357</v>
      </c>
      <c r="G427" s="15" t="s">
        <v>756</v>
      </c>
    </row>
    <row r="428" customFormat="false" ht="15" hidden="false" customHeight="false" outlineLevel="0" collapsed="false">
      <c r="A428" s="8" t="s">
        <v>112</v>
      </c>
      <c r="B428" s="8" t="s">
        <v>45</v>
      </c>
      <c r="C428" s="6" t="s">
        <v>169</v>
      </c>
      <c r="D428" s="6" t="s">
        <v>299</v>
      </c>
      <c r="E428" s="8" t="s">
        <v>300</v>
      </c>
      <c r="F428" s="30" t="n">
        <v>1</v>
      </c>
      <c r="G428" s="15" t="s">
        <v>757</v>
      </c>
    </row>
    <row r="429" customFormat="false" ht="15" hidden="false" customHeight="false" outlineLevel="0" collapsed="false">
      <c r="A429" s="8" t="s">
        <v>112</v>
      </c>
      <c r="B429" s="8" t="s">
        <v>45</v>
      </c>
      <c r="C429" s="6" t="s">
        <v>172</v>
      </c>
      <c r="D429" s="6" t="s">
        <v>303</v>
      </c>
      <c r="E429" s="8" t="s">
        <v>304</v>
      </c>
      <c r="F429" s="30" t="n">
        <v>1</v>
      </c>
      <c r="G429" s="15" t="s">
        <v>758</v>
      </c>
    </row>
    <row r="430" customFormat="false" ht="15" hidden="false" customHeight="false" outlineLevel="0" collapsed="false">
      <c r="A430" s="8" t="s">
        <v>112</v>
      </c>
      <c r="B430" s="8" t="s">
        <v>45</v>
      </c>
      <c r="C430" s="6" t="s">
        <v>172</v>
      </c>
      <c r="D430" s="6" t="s">
        <v>307</v>
      </c>
      <c r="E430" s="8" t="s">
        <v>308</v>
      </c>
      <c r="F430" s="30" t="n">
        <v>2</v>
      </c>
      <c r="G430" s="15" t="s">
        <v>759</v>
      </c>
    </row>
    <row r="431" customFormat="false" ht="15" hidden="false" customHeight="false" outlineLevel="0" collapsed="false">
      <c r="A431" s="8" t="s">
        <v>112</v>
      </c>
      <c r="B431" s="8" t="s">
        <v>45</v>
      </c>
      <c r="C431" s="6" t="s">
        <v>172</v>
      </c>
      <c r="D431" s="6" t="s">
        <v>311</v>
      </c>
      <c r="E431" s="8" t="s">
        <v>312</v>
      </c>
      <c r="F431" s="30" t="n">
        <v>1</v>
      </c>
      <c r="G431" s="15" t="s">
        <v>760</v>
      </c>
    </row>
    <row r="432" customFormat="false" ht="15" hidden="false" customHeight="false" outlineLevel="0" collapsed="false">
      <c r="A432" s="8" t="s">
        <v>112</v>
      </c>
      <c r="B432" s="8" t="s">
        <v>45</v>
      </c>
      <c r="C432" s="6" t="s">
        <v>172</v>
      </c>
      <c r="D432" s="6" t="s">
        <v>315</v>
      </c>
      <c r="E432" s="8" t="s">
        <v>316</v>
      </c>
      <c r="F432" s="30" t="s">
        <v>357</v>
      </c>
      <c r="G432" s="15" t="s">
        <v>761</v>
      </c>
    </row>
    <row r="433" customFormat="false" ht="15" hidden="false" customHeight="false" outlineLevel="0" collapsed="false">
      <c r="A433" s="8" t="s">
        <v>112</v>
      </c>
      <c r="B433" s="8" t="s">
        <v>45</v>
      </c>
      <c r="C433" s="6" t="s">
        <v>172</v>
      </c>
      <c r="D433" s="6" t="s">
        <v>318</v>
      </c>
      <c r="E433" s="8" t="s">
        <v>319</v>
      </c>
      <c r="F433" s="30" t="s">
        <v>357</v>
      </c>
      <c r="G433" s="15" t="s">
        <v>762</v>
      </c>
    </row>
    <row r="434" customFormat="false" ht="15" hidden="false" customHeight="false" outlineLevel="0" collapsed="false">
      <c r="A434" s="8" t="s">
        <v>112</v>
      </c>
      <c r="B434" s="8" t="s">
        <v>45</v>
      </c>
      <c r="C434" s="6" t="s">
        <v>175</v>
      </c>
      <c r="D434" s="6" t="s">
        <v>324</v>
      </c>
      <c r="E434" s="8" t="s">
        <v>325</v>
      </c>
      <c r="F434" s="30" t="n">
        <v>0</v>
      </c>
      <c r="G434" s="15" t="s">
        <v>763</v>
      </c>
    </row>
    <row r="435" customFormat="false" ht="15" hidden="false" customHeight="false" outlineLevel="0" collapsed="false">
      <c r="A435" s="8" t="s">
        <v>112</v>
      </c>
      <c r="B435" s="8" t="s">
        <v>45</v>
      </c>
      <c r="C435" s="6" t="s">
        <v>175</v>
      </c>
      <c r="D435" s="6" t="s">
        <v>329</v>
      </c>
      <c r="E435" s="8" t="s">
        <v>330</v>
      </c>
      <c r="F435" s="30" t="n">
        <v>1</v>
      </c>
      <c r="G435" s="15" t="s">
        <v>764</v>
      </c>
    </row>
    <row r="436" customFormat="false" ht="15" hidden="false" customHeight="false" outlineLevel="0" collapsed="false">
      <c r="A436" s="8" t="s">
        <v>112</v>
      </c>
      <c r="B436" s="8" t="s">
        <v>45</v>
      </c>
      <c r="C436" s="6" t="s">
        <v>175</v>
      </c>
      <c r="D436" s="6" t="s">
        <v>333</v>
      </c>
      <c r="E436" s="8" t="s">
        <v>334</v>
      </c>
      <c r="F436" s="30" t="n">
        <v>2</v>
      </c>
      <c r="G436" s="15" t="s">
        <v>765</v>
      </c>
    </row>
    <row r="437" customFormat="false" ht="15" hidden="false" customHeight="false" outlineLevel="0" collapsed="false">
      <c r="A437" s="8" t="s">
        <v>116</v>
      </c>
      <c r="B437" s="8" t="s">
        <v>45</v>
      </c>
      <c r="C437" s="6" t="s">
        <v>163</v>
      </c>
      <c r="D437" s="6" t="s">
        <v>196</v>
      </c>
      <c r="E437" s="8" t="s">
        <v>197</v>
      </c>
      <c r="F437" s="30" t="n">
        <v>2</v>
      </c>
      <c r="G437" s="15" t="s">
        <v>766</v>
      </c>
    </row>
    <row r="438" customFormat="false" ht="15" hidden="false" customHeight="false" outlineLevel="0" collapsed="false">
      <c r="A438" s="8" t="s">
        <v>116</v>
      </c>
      <c r="B438" s="8" t="s">
        <v>45</v>
      </c>
      <c r="C438" s="6" t="s">
        <v>163</v>
      </c>
      <c r="D438" s="6" t="s">
        <v>201</v>
      </c>
      <c r="E438" s="8" t="s">
        <v>202</v>
      </c>
      <c r="F438" s="30" t="n">
        <v>2</v>
      </c>
      <c r="G438" s="15" t="s">
        <v>767</v>
      </c>
    </row>
    <row r="439" customFormat="false" ht="15" hidden="false" customHeight="false" outlineLevel="0" collapsed="false">
      <c r="A439" s="8" t="s">
        <v>116</v>
      </c>
      <c r="B439" s="8" t="s">
        <v>45</v>
      </c>
      <c r="C439" s="6" t="s">
        <v>163</v>
      </c>
      <c r="D439" s="6" t="s">
        <v>207</v>
      </c>
      <c r="E439" s="8" t="s">
        <v>208</v>
      </c>
      <c r="F439" s="30" t="n">
        <v>2</v>
      </c>
      <c r="G439" s="15" t="s">
        <v>768</v>
      </c>
    </row>
    <row r="440" customFormat="false" ht="15" hidden="false" customHeight="false" outlineLevel="0" collapsed="false">
      <c r="A440" s="8" t="s">
        <v>116</v>
      </c>
      <c r="B440" s="8" t="s">
        <v>45</v>
      </c>
      <c r="C440" s="6" t="s">
        <v>163</v>
      </c>
      <c r="D440" s="6" t="s">
        <v>213</v>
      </c>
      <c r="E440" s="8" t="s">
        <v>214</v>
      </c>
      <c r="F440" s="30" t="n">
        <v>1</v>
      </c>
      <c r="G440" s="15" t="s">
        <v>769</v>
      </c>
    </row>
    <row r="441" customFormat="false" ht="15" hidden="false" customHeight="false" outlineLevel="0" collapsed="false">
      <c r="A441" s="8" t="s">
        <v>116</v>
      </c>
      <c r="B441" s="8" t="s">
        <v>45</v>
      </c>
      <c r="C441" s="6" t="s">
        <v>163</v>
      </c>
      <c r="D441" s="6" t="s">
        <v>219</v>
      </c>
      <c r="E441" s="8" t="s">
        <v>220</v>
      </c>
      <c r="F441" s="30" t="n">
        <v>2</v>
      </c>
      <c r="G441" s="15" t="s">
        <v>770</v>
      </c>
    </row>
    <row r="442" customFormat="false" ht="15" hidden="false" customHeight="false" outlineLevel="0" collapsed="false">
      <c r="A442" s="8" t="s">
        <v>116</v>
      </c>
      <c r="B442" s="8" t="s">
        <v>45</v>
      </c>
      <c r="C442" s="6" t="s">
        <v>163</v>
      </c>
      <c r="D442" s="6" t="s">
        <v>225</v>
      </c>
      <c r="E442" s="8" t="s">
        <v>226</v>
      </c>
      <c r="F442" s="30" t="n">
        <v>2</v>
      </c>
      <c r="G442" s="15" t="s">
        <v>771</v>
      </c>
    </row>
    <row r="443" customFormat="false" ht="15" hidden="false" customHeight="false" outlineLevel="0" collapsed="false">
      <c r="A443" s="8" t="s">
        <v>116</v>
      </c>
      <c r="B443" s="8" t="s">
        <v>45</v>
      </c>
      <c r="C443" s="6" t="s">
        <v>163</v>
      </c>
      <c r="D443" s="6" t="s">
        <v>230</v>
      </c>
      <c r="E443" s="8" t="s">
        <v>231</v>
      </c>
      <c r="F443" s="30" t="s">
        <v>357</v>
      </c>
      <c r="G443" s="15" t="s">
        <v>375</v>
      </c>
    </row>
    <row r="444" customFormat="false" ht="15" hidden="false" customHeight="false" outlineLevel="0" collapsed="false">
      <c r="A444" s="8" t="s">
        <v>116</v>
      </c>
      <c r="B444" s="8" t="s">
        <v>45</v>
      </c>
      <c r="C444" s="6" t="s">
        <v>163</v>
      </c>
      <c r="D444" s="6" t="s">
        <v>236</v>
      </c>
      <c r="E444" s="8" t="s">
        <v>237</v>
      </c>
      <c r="F444" s="30" t="n">
        <v>2</v>
      </c>
      <c r="G444" s="15" t="s">
        <v>772</v>
      </c>
    </row>
    <row r="445" customFormat="false" ht="15" hidden="false" customHeight="false" outlineLevel="0" collapsed="false">
      <c r="A445" s="8" t="s">
        <v>116</v>
      </c>
      <c r="B445" s="8" t="s">
        <v>45</v>
      </c>
      <c r="C445" s="6" t="s">
        <v>166</v>
      </c>
      <c r="D445" s="6" t="s">
        <v>242</v>
      </c>
      <c r="E445" s="8" t="s">
        <v>243</v>
      </c>
      <c r="F445" s="30" t="n">
        <v>1</v>
      </c>
      <c r="G445" s="15" t="s">
        <v>773</v>
      </c>
    </row>
    <row r="446" customFormat="false" ht="15" hidden="false" customHeight="false" outlineLevel="0" collapsed="false">
      <c r="A446" s="8" t="s">
        <v>116</v>
      </c>
      <c r="B446" s="8" t="s">
        <v>45</v>
      </c>
      <c r="C446" s="6" t="s">
        <v>166</v>
      </c>
      <c r="D446" s="6" t="s">
        <v>247</v>
      </c>
      <c r="E446" s="8" t="s">
        <v>248</v>
      </c>
      <c r="F446" s="30" t="n">
        <v>1</v>
      </c>
      <c r="G446" s="15" t="s">
        <v>774</v>
      </c>
    </row>
    <row r="447" customFormat="false" ht="15" hidden="false" customHeight="false" outlineLevel="0" collapsed="false">
      <c r="A447" s="8" t="s">
        <v>116</v>
      </c>
      <c r="B447" s="8" t="s">
        <v>45</v>
      </c>
      <c r="C447" s="6" t="s">
        <v>166</v>
      </c>
      <c r="D447" s="6" t="s">
        <v>252</v>
      </c>
      <c r="E447" s="8" t="s">
        <v>253</v>
      </c>
      <c r="F447" s="30" t="n">
        <v>1</v>
      </c>
      <c r="G447" s="15" t="s">
        <v>775</v>
      </c>
    </row>
    <row r="448" customFormat="false" ht="15" hidden="false" customHeight="false" outlineLevel="0" collapsed="false">
      <c r="A448" s="8" t="s">
        <v>116</v>
      </c>
      <c r="B448" s="8" t="s">
        <v>45</v>
      </c>
      <c r="C448" s="6" t="s">
        <v>166</v>
      </c>
      <c r="D448" s="6" t="s">
        <v>257</v>
      </c>
      <c r="E448" s="8" t="s">
        <v>258</v>
      </c>
      <c r="F448" s="30" t="n">
        <v>1</v>
      </c>
      <c r="G448" s="15" t="s">
        <v>776</v>
      </c>
    </row>
    <row r="449" customFormat="false" ht="15" hidden="false" customHeight="false" outlineLevel="0" collapsed="false">
      <c r="A449" s="8" t="s">
        <v>116</v>
      </c>
      <c r="B449" s="8" t="s">
        <v>45</v>
      </c>
      <c r="C449" s="6" t="s">
        <v>166</v>
      </c>
      <c r="D449" s="6" t="s">
        <v>262</v>
      </c>
      <c r="E449" s="8" t="s">
        <v>263</v>
      </c>
      <c r="F449" s="30" t="n">
        <v>0</v>
      </c>
      <c r="G449" s="15" t="s">
        <v>777</v>
      </c>
    </row>
    <row r="450" customFormat="false" ht="15" hidden="false" customHeight="false" outlineLevel="0" collapsed="false">
      <c r="A450" s="8" t="s">
        <v>116</v>
      </c>
      <c r="B450" s="8" t="s">
        <v>45</v>
      </c>
      <c r="C450" s="6" t="s">
        <v>166</v>
      </c>
      <c r="D450" s="6" t="s">
        <v>267</v>
      </c>
      <c r="E450" s="8" t="s">
        <v>268</v>
      </c>
      <c r="F450" s="30" t="n">
        <v>1</v>
      </c>
      <c r="G450" s="15" t="s">
        <v>778</v>
      </c>
    </row>
    <row r="451" customFormat="false" ht="15" hidden="false" customHeight="false" outlineLevel="0" collapsed="false">
      <c r="A451" s="8" t="s">
        <v>116</v>
      </c>
      <c r="B451" s="8" t="s">
        <v>45</v>
      </c>
      <c r="C451" s="6" t="s">
        <v>166</v>
      </c>
      <c r="D451" s="6" t="s">
        <v>272</v>
      </c>
      <c r="E451" s="8" t="s">
        <v>273</v>
      </c>
      <c r="F451" s="30" t="n">
        <v>0</v>
      </c>
      <c r="G451" s="15" t="s">
        <v>779</v>
      </c>
    </row>
    <row r="452" customFormat="false" ht="15" hidden="false" customHeight="false" outlineLevel="0" collapsed="false">
      <c r="A452" s="8" t="s">
        <v>116</v>
      </c>
      <c r="B452" s="8" t="s">
        <v>45</v>
      </c>
      <c r="C452" s="6" t="s">
        <v>166</v>
      </c>
      <c r="D452" s="6" t="s">
        <v>276</v>
      </c>
      <c r="E452" s="8" t="s">
        <v>277</v>
      </c>
      <c r="F452" s="30" t="n">
        <v>0</v>
      </c>
      <c r="G452" s="15" t="s">
        <v>780</v>
      </c>
    </row>
    <row r="453" customFormat="false" ht="15" hidden="false" customHeight="false" outlineLevel="0" collapsed="false">
      <c r="A453" s="8" t="s">
        <v>116</v>
      </c>
      <c r="B453" s="8" t="s">
        <v>45</v>
      </c>
      <c r="C453" s="6" t="s">
        <v>169</v>
      </c>
      <c r="D453" s="6" t="s">
        <v>280</v>
      </c>
      <c r="E453" s="8" t="s">
        <v>281</v>
      </c>
      <c r="F453" s="30" t="n">
        <v>2</v>
      </c>
      <c r="G453" s="15" t="s">
        <v>781</v>
      </c>
    </row>
    <row r="454" customFormat="false" ht="15" hidden="false" customHeight="false" outlineLevel="0" collapsed="false">
      <c r="A454" s="8" t="s">
        <v>116</v>
      </c>
      <c r="B454" s="8" t="s">
        <v>45</v>
      </c>
      <c r="C454" s="6" t="s">
        <v>169</v>
      </c>
      <c r="D454" s="6" t="s">
        <v>285</v>
      </c>
      <c r="E454" s="8" t="s">
        <v>286</v>
      </c>
      <c r="F454" s="30" t="n">
        <v>0</v>
      </c>
      <c r="G454" s="15" t="s">
        <v>782</v>
      </c>
    </row>
    <row r="455" customFormat="false" ht="15" hidden="false" customHeight="false" outlineLevel="0" collapsed="false">
      <c r="A455" s="8" t="s">
        <v>116</v>
      </c>
      <c r="B455" s="8" t="s">
        <v>45</v>
      </c>
      <c r="C455" s="6" t="s">
        <v>169</v>
      </c>
      <c r="D455" s="6" t="s">
        <v>290</v>
      </c>
      <c r="E455" s="8" t="s">
        <v>291</v>
      </c>
      <c r="F455" s="30" t="n">
        <v>2</v>
      </c>
      <c r="G455" s="15" t="s">
        <v>783</v>
      </c>
    </row>
    <row r="456" customFormat="false" ht="15" hidden="false" customHeight="false" outlineLevel="0" collapsed="false">
      <c r="A456" s="8" t="s">
        <v>116</v>
      </c>
      <c r="B456" s="8" t="s">
        <v>45</v>
      </c>
      <c r="C456" s="6" t="s">
        <v>169</v>
      </c>
      <c r="D456" s="6" t="s">
        <v>295</v>
      </c>
      <c r="E456" s="8" t="s">
        <v>296</v>
      </c>
      <c r="F456" s="30" t="n">
        <v>1</v>
      </c>
      <c r="G456" s="15" t="s">
        <v>784</v>
      </c>
    </row>
    <row r="457" customFormat="false" ht="15" hidden="false" customHeight="false" outlineLevel="0" collapsed="false">
      <c r="A457" s="8" t="s">
        <v>116</v>
      </c>
      <c r="B457" s="8" t="s">
        <v>45</v>
      </c>
      <c r="C457" s="6" t="s">
        <v>169</v>
      </c>
      <c r="D457" s="6" t="s">
        <v>299</v>
      </c>
      <c r="E457" s="8" t="s">
        <v>300</v>
      </c>
      <c r="F457" s="30" t="n">
        <v>1</v>
      </c>
      <c r="G457" s="15" t="s">
        <v>785</v>
      </c>
    </row>
    <row r="458" customFormat="false" ht="15" hidden="false" customHeight="false" outlineLevel="0" collapsed="false">
      <c r="A458" s="8" t="s">
        <v>116</v>
      </c>
      <c r="B458" s="8" t="s">
        <v>45</v>
      </c>
      <c r="C458" s="6" t="s">
        <v>172</v>
      </c>
      <c r="D458" s="6" t="s">
        <v>303</v>
      </c>
      <c r="E458" s="8" t="s">
        <v>304</v>
      </c>
      <c r="F458" s="30" t="n">
        <v>2</v>
      </c>
      <c r="G458" s="15" t="s">
        <v>786</v>
      </c>
    </row>
    <row r="459" customFormat="false" ht="15" hidden="false" customHeight="false" outlineLevel="0" collapsed="false">
      <c r="A459" s="8" t="s">
        <v>116</v>
      </c>
      <c r="B459" s="8" t="s">
        <v>45</v>
      </c>
      <c r="C459" s="6" t="s">
        <v>172</v>
      </c>
      <c r="D459" s="6" t="s">
        <v>307</v>
      </c>
      <c r="E459" s="8" t="s">
        <v>308</v>
      </c>
      <c r="F459" s="30" t="n">
        <v>2</v>
      </c>
      <c r="G459" s="15" t="s">
        <v>787</v>
      </c>
    </row>
    <row r="460" customFormat="false" ht="15" hidden="false" customHeight="false" outlineLevel="0" collapsed="false">
      <c r="A460" s="8" t="s">
        <v>116</v>
      </c>
      <c r="B460" s="8" t="s">
        <v>45</v>
      </c>
      <c r="C460" s="6" t="s">
        <v>172</v>
      </c>
      <c r="D460" s="6" t="s">
        <v>311</v>
      </c>
      <c r="E460" s="8" t="s">
        <v>312</v>
      </c>
      <c r="F460" s="30" t="n">
        <v>2</v>
      </c>
      <c r="G460" s="15" t="s">
        <v>788</v>
      </c>
    </row>
    <row r="461" customFormat="false" ht="15" hidden="false" customHeight="false" outlineLevel="0" collapsed="false">
      <c r="A461" s="8" t="s">
        <v>116</v>
      </c>
      <c r="B461" s="8" t="s">
        <v>45</v>
      </c>
      <c r="C461" s="6" t="s">
        <v>172</v>
      </c>
      <c r="D461" s="6" t="s">
        <v>315</v>
      </c>
      <c r="E461" s="8" t="s">
        <v>316</v>
      </c>
      <c r="F461" s="30" t="n">
        <v>2</v>
      </c>
      <c r="G461" s="15" t="s">
        <v>789</v>
      </c>
    </row>
    <row r="462" customFormat="false" ht="15" hidden="false" customHeight="false" outlineLevel="0" collapsed="false">
      <c r="A462" s="8" t="s">
        <v>116</v>
      </c>
      <c r="B462" s="8" t="s">
        <v>45</v>
      </c>
      <c r="C462" s="6" t="s">
        <v>172</v>
      </c>
      <c r="D462" s="6" t="s">
        <v>318</v>
      </c>
      <c r="E462" s="8" t="s">
        <v>319</v>
      </c>
      <c r="F462" s="30" t="n">
        <v>1</v>
      </c>
      <c r="G462" s="15" t="s">
        <v>790</v>
      </c>
    </row>
    <row r="463" customFormat="false" ht="15" hidden="false" customHeight="false" outlineLevel="0" collapsed="false">
      <c r="A463" s="8" t="s">
        <v>116</v>
      </c>
      <c r="B463" s="8" t="s">
        <v>45</v>
      </c>
      <c r="C463" s="6" t="s">
        <v>175</v>
      </c>
      <c r="D463" s="6" t="s">
        <v>324</v>
      </c>
      <c r="E463" s="8" t="s">
        <v>325</v>
      </c>
      <c r="F463" s="30" t="n">
        <v>2</v>
      </c>
      <c r="G463" s="15" t="s">
        <v>791</v>
      </c>
    </row>
    <row r="464" customFormat="false" ht="15" hidden="false" customHeight="false" outlineLevel="0" collapsed="false">
      <c r="A464" s="8" t="s">
        <v>116</v>
      </c>
      <c r="B464" s="8" t="s">
        <v>45</v>
      </c>
      <c r="C464" s="6" t="s">
        <v>175</v>
      </c>
      <c r="D464" s="6" t="s">
        <v>329</v>
      </c>
      <c r="E464" s="8" t="s">
        <v>330</v>
      </c>
      <c r="F464" s="30" t="n">
        <v>1</v>
      </c>
      <c r="G464" s="15" t="s">
        <v>792</v>
      </c>
    </row>
    <row r="465" customFormat="false" ht="15" hidden="false" customHeight="false" outlineLevel="0" collapsed="false">
      <c r="A465" s="8" t="s">
        <v>116</v>
      </c>
      <c r="B465" s="8" t="s">
        <v>45</v>
      </c>
      <c r="C465" s="6" t="s">
        <v>175</v>
      </c>
      <c r="D465" s="6" t="s">
        <v>333</v>
      </c>
      <c r="E465" s="8" t="s">
        <v>334</v>
      </c>
      <c r="F465" s="30" t="n">
        <v>1</v>
      </c>
      <c r="G465" s="15" t="s">
        <v>793</v>
      </c>
    </row>
    <row r="466" customFormat="false" ht="15" hidden="false" customHeight="false" outlineLevel="0" collapsed="false">
      <c r="A466" s="8" t="s">
        <v>119</v>
      </c>
      <c r="B466" s="8" t="s">
        <v>45</v>
      </c>
      <c r="C466" s="6" t="s">
        <v>163</v>
      </c>
      <c r="D466" s="6" t="s">
        <v>196</v>
      </c>
      <c r="E466" s="8" t="s">
        <v>197</v>
      </c>
      <c r="F466" s="30" t="n">
        <v>2</v>
      </c>
      <c r="G466" s="15" t="s">
        <v>794</v>
      </c>
    </row>
    <row r="467" customFormat="false" ht="28.35" hidden="false" customHeight="false" outlineLevel="0" collapsed="false">
      <c r="A467" s="8" t="s">
        <v>119</v>
      </c>
      <c r="B467" s="8" t="s">
        <v>45</v>
      </c>
      <c r="C467" s="6" t="s">
        <v>163</v>
      </c>
      <c r="D467" s="6" t="s">
        <v>201</v>
      </c>
      <c r="E467" s="8" t="s">
        <v>202</v>
      </c>
      <c r="F467" s="30" t="n">
        <v>2</v>
      </c>
      <c r="G467" s="15" t="s">
        <v>795</v>
      </c>
    </row>
    <row r="468" customFormat="false" ht="15" hidden="false" customHeight="false" outlineLevel="0" collapsed="false">
      <c r="A468" s="8" t="s">
        <v>119</v>
      </c>
      <c r="B468" s="8" t="s">
        <v>45</v>
      </c>
      <c r="C468" s="6" t="s">
        <v>163</v>
      </c>
      <c r="D468" s="6" t="s">
        <v>207</v>
      </c>
      <c r="E468" s="8" t="s">
        <v>208</v>
      </c>
      <c r="F468" s="30" t="n">
        <v>2</v>
      </c>
      <c r="G468" s="15" t="s">
        <v>796</v>
      </c>
    </row>
    <row r="469" customFormat="false" ht="15" hidden="false" customHeight="false" outlineLevel="0" collapsed="false">
      <c r="A469" s="8" t="s">
        <v>119</v>
      </c>
      <c r="B469" s="8" t="s">
        <v>45</v>
      </c>
      <c r="C469" s="6" t="s">
        <v>163</v>
      </c>
      <c r="D469" s="6" t="s">
        <v>213</v>
      </c>
      <c r="E469" s="8" t="s">
        <v>214</v>
      </c>
      <c r="F469" s="30" t="n">
        <v>1</v>
      </c>
      <c r="G469" s="15" t="s">
        <v>797</v>
      </c>
    </row>
    <row r="470" customFormat="false" ht="15" hidden="false" customHeight="false" outlineLevel="0" collapsed="false">
      <c r="A470" s="8" t="s">
        <v>119</v>
      </c>
      <c r="B470" s="8" t="s">
        <v>45</v>
      </c>
      <c r="C470" s="6" t="s">
        <v>163</v>
      </c>
      <c r="D470" s="6" t="s">
        <v>219</v>
      </c>
      <c r="E470" s="8" t="s">
        <v>220</v>
      </c>
      <c r="F470" s="30" t="n">
        <v>0</v>
      </c>
      <c r="G470" s="15" t="s">
        <v>798</v>
      </c>
    </row>
    <row r="471" customFormat="false" ht="15" hidden="false" customHeight="false" outlineLevel="0" collapsed="false">
      <c r="A471" s="8" t="s">
        <v>119</v>
      </c>
      <c r="B471" s="8" t="s">
        <v>45</v>
      </c>
      <c r="C471" s="6" t="s">
        <v>163</v>
      </c>
      <c r="D471" s="6" t="s">
        <v>225</v>
      </c>
      <c r="E471" s="8" t="s">
        <v>226</v>
      </c>
      <c r="F471" s="30" t="n">
        <v>0</v>
      </c>
      <c r="G471" s="15" t="s">
        <v>799</v>
      </c>
    </row>
    <row r="472" customFormat="false" ht="15" hidden="false" customHeight="false" outlineLevel="0" collapsed="false">
      <c r="A472" s="8" t="s">
        <v>119</v>
      </c>
      <c r="B472" s="8" t="s">
        <v>45</v>
      </c>
      <c r="C472" s="6" t="s">
        <v>163</v>
      </c>
      <c r="D472" s="6" t="s">
        <v>230</v>
      </c>
      <c r="E472" s="8" t="s">
        <v>231</v>
      </c>
      <c r="F472" s="30" t="s">
        <v>357</v>
      </c>
      <c r="G472" s="15" t="s">
        <v>575</v>
      </c>
    </row>
    <row r="473" customFormat="false" ht="15" hidden="false" customHeight="false" outlineLevel="0" collapsed="false">
      <c r="A473" s="8" t="s">
        <v>119</v>
      </c>
      <c r="B473" s="8" t="s">
        <v>45</v>
      </c>
      <c r="C473" s="6" t="s">
        <v>163</v>
      </c>
      <c r="D473" s="6" t="s">
        <v>236</v>
      </c>
      <c r="E473" s="8" t="s">
        <v>237</v>
      </c>
      <c r="F473" s="30" t="n">
        <v>1</v>
      </c>
      <c r="G473" s="15" t="s">
        <v>800</v>
      </c>
    </row>
    <row r="474" customFormat="false" ht="15" hidden="false" customHeight="false" outlineLevel="0" collapsed="false">
      <c r="A474" s="8" t="s">
        <v>119</v>
      </c>
      <c r="B474" s="8" t="s">
        <v>45</v>
      </c>
      <c r="C474" s="6" t="s">
        <v>166</v>
      </c>
      <c r="D474" s="6" t="s">
        <v>242</v>
      </c>
      <c r="E474" s="8" t="s">
        <v>243</v>
      </c>
      <c r="F474" s="30" t="n">
        <v>2</v>
      </c>
      <c r="G474" s="15" t="s">
        <v>801</v>
      </c>
    </row>
    <row r="475" customFormat="false" ht="15" hidden="false" customHeight="false" outlineLevel="0" collapsed="false">
      <c r="A475" s="8" t="s">
        <v>119</v>
      </c>
      <c r="B475" s="8" t="s">
        <v>45</v>
      </c>
      <c r="C475" s="6" t="s">
        <v>166</v>
      </c>
      <c r="D475" s="6" t="s">
        <v>247</v>
      </c>
      <c r="E475" s="8" t="s">
        <v>248</v>
      </c>
      <c r="F475" s="30" t="s">
        <v>357</v>
      </c>
      <c r="G475" s="15" t="s">
        <v>802</v>
      </c>
    </row>
    <row r="476" customFormat="false" ht="15" hidden="false" customHeight="false" outlineLevel="0" collapsed="false">
      <c r="A476" s="8" t="s">
        <v>119</v>
      </c>
      <c r="B476" s="8" t="s">
        <v>45</v>
      </c>
      <c r="C476" s="6" t="s">
        <v>166</v>
      </c>
      <c r="D476" s="6" t="s">
        <v>252</v>
      </c>
      <c r="E476" s="8" t="s">
        <v>253</v>
      </c>
      <c r="F476" s="30" t="s">
        <v>357</v>
      </c>
      <c r="G476" s="15" t="s">
        <v>803</v>
      </c>
    </row>
    <row r="477" customFormat="false" ht="15" hidden="false" customHeight="false" outlineLevel="0" collapsed="false">
      <c r="A477" s="8" t="s">
        <v>119</v>
      </c>
      <c r="B477" s="8" t="s">
        <v>45</v>
      </c>
      <c r="C477" s="6" t="s">
        <v>166</v>
      </c>
      <c r="D477" s="6" t="s">
        <v>257</v>
      </c>
      <c r="E477" s="8" t="s">
        <v>258</v>
      </c>
      <c r="F477" s="30" t="s">
        <v>357</v>
      </c>
      <c r="G477" s="15" t="s">
        <v>804</v>
      </c>
    </row>
    <row r="478" customFormat="false" ht="15" hidden="false" customHeight="false" outlineLevel="0" collapsed="false">
      <c r="A478" s="8" t="s">
        <v>119</v>
      </c>
      <c r="B478" s="8" t="s">
        <v>45</v>
      </c>
      <c r="C478" s="6" t="s">
        <v>166</v>
      </c>
      <c r="D478" s="6" t="s">
        <v>262</v>
      </c>
      <c r="E478" s="8" t="s">
        <v>263</v>
      </c>
      <c r="F478" s="30" t="s">
        <v>357</v>
      </c>
      <c r="G478" s="15" t="s">
        <v>805</v>
      </c>
    </row>
    <row r="479" customFormat="false" ht="15" hidden="false" customHeight="false" outlineLevel="0" collapsed="false">
      <c r="A479" s="8" t="s">
        <v>119</v>
      </c>
      <c r="B479" s="8" t="s">
        <v>45</v>
      </c>
      <c r="C479" s="6" t="s">
        <v>166</v>
      </c>
      <c r="D479" s="6" t="s">
        <v>267</v>
      </c>
      <c r="E479" s="8" t="s">
        <v>268</v>
      </c>
      <c r="F479" s="30" t="n">
        <v>1</v>
      </c>
      <c r="G479" s="15" t="s">
        <v>806</v>
      </c>
    </row>
    <row r="480" customFormat="false" ht="15" hidden="false" customHeight="false" outlineLevel="0" collapsed="false">
      <c r="A480" s="8" t="s">
        <v>119</v>
      </c>
      <c r="B480" s="8" t="s">
        <v>45</v>
      </c>
      <c r="C480" s="6" t="s">
        <v>166</v>
      </c>
      <c r="D480" s="6" t="s">
        <v>272</v>
      </c>
      <c r="E480" s="8" t="s">
        <v>273</v>
      </c>
      <c r="F480" s="30" t="s">
        <v>357</v>
      </c>
      <c r="G480" s="15" t="s">
        <v>807</v>
      </c>
    </row>
    <row r="481" customFormat="false" ht="15" hidden="false" customHeight="false" outlineLevel="0" collapsed="false">
      <c r="A481" s="8" t="s">
        <v>119</v>
      </c>
      <c r="B481" s="8" t="s">
        <v>45</v>
      </c>
      <c r="C481" s="6" t="s">
        <v>166</v>
      </c>
      <c r="D481" s="6" t="s">
        <v>276</v>
      </c>
      <c r="E481" s="8" t="s">
        <v>277</v>
      </c>
      <c r="F481" s="30" t="n">
        <v>1</v>
      </c>
      <c r="G481" s="15" t="s">
        <v>808</v>
      </c>
    </row>
    <row r="482" customFormat="false" ht="15" hidden="false" customHeight="false" outlineLevel="0" collapsed="false">
      <c r="A482" s="8" t="s">
        <v>119</v>
      </c>
      <c r="B482" s="8" t="s">
        <v>45</v>
      </c>
      <c r="C482" s="6" t="s">
        <v>169</v>
      </c>
      <c r="D482" s="6" t="s">
        <v>280</v>
      </c>
      <c r="E482" s="8" t="s">
        <v>281</v>
      </c>
      <c r="F482" s="30" t="n">
        <v>1</v>
      </c>
      <c r="G482" s="15" t="s">
        <v>809</v>
      </c>
    </row>
    <row r="483" customFormat="false" ht="15" hidden="false" customHeight="false" outlineLevel="0" collapsed="false">
      <c r="A483" s="8" t="s">
        <v>119</v>
      </c>
      <c r="B483" s="8" t="s">
        <v>45</v>
      </c>
      <c r="C483" s="6" t="s">
        <v>169</v>
      </c>
      <c r="D483" s="6" t="s">
        <v>285</v>
      </c>
      <c r="E483" s="8" t="s">
        <v>286</v>
      </c>
      <c r="F483" s="30" t="s">
        <v>357</v>
      </c>
      <c r="G483" s="15" t="s">
        <v>810</v>
      </c>
    </row>
    <row r="484" customFormat="false" ht="15" hidden="false" customHeight="false" outlineLevel="0" collapsed="false">
      <c r="A484" s="8" t="s">
        <v>119</v>
      </c>
      <c r="B484" s="8" t="s">
        <v>45</v>
      </c>
      <c r="C484" s="6" t="s">
        <v>169</v>
      </c>
      <c r="D484" s="6" t="s">
        <v>290</v>
      </c>
      <c r="E484" s="8" t="s">
        <v>291</v>
      </c>
      <c r="F484" s="30" t="s">
        <v>357</v>
      </c>
      <c r="G484" s="15" t="s">
        <v>811</v>
      </c>
    </row>
    <row r="485" customFormat="false" ht="15" hidden="false" customHeight="false" outlineLevel="0" collapsed="false">
      <c r="A485" s="8" t="s">
        <v>119</v>
      </c>
      <c r="B485" s="8" t="s">
        <v>45</v>
      </c>
      <c r="C485" s="6" t="s">
        <v>169</v>
      </c>
      <c r="D485" s="6" t="s">
        <v>295</v>
      </c>
      <c r="E485" s="8" t="s">
        <v>296</v>
      </c>
      <c r="F485" s="30" t="n">
        <v>2</v>
      </c>
      <c r="G485" s="15" t="s">
        <v>812</v>
      </c>
    </row>
    <row r="486" customFormat="false" ht="15" hidden="false" customHeight="false" outlineLevel="0" collapsed="false">
      <c r="A486" s="8" t="s">
        <v>119</v>
      </c>
      <c r="B486" s="8" t="s">
        <v>45</v>
      </c>
      <c r="C486" s="6" t="s">
        <v>169</v>
      </c>
      <c r="D486" s="6" t="s">
        <v>299</v>
      </c>
      <c r="E486" s="8" t="s">
        <v>300</v>
      </c>
      <c r="F486" s="30" t="n">
        <v>1</v>
      </c>
      <c r="G486" s="15" t="s">
        <v>813</v>
      </c>
    </row>
    <row r="487" customFormat="false" ht="28.35" hidden="false" customHeight="false" outlineLevel="0" collapsed="false">
      <c r="A487" s="8" t="s">
        <v>119</v>
      </c>
      <c r="B487" s="8" t="s">
        <v>45</v>
      </c>
      <c r="C487" s="6" t="s">
        <v>172</v>
      </c>
      <c r="D487" s="6" t="s">
        <v>303</v>
      </c>
      <c r="E487" s="8" t="s">
        <v>304</v>
      </c>
      <c r="F487" s="30" t="n">
        <v>2</v>
      </c>
      <c r="G487" s="15" t="s">
        <v>814</v>
      </c>
    </row>
    <row r="488" customFormat="false" ht="15" hidden="false" customHeight="false" outlineLevel="0" collapsed="false">
      <c r="A488" s="8" t="s">
        <v>119</v>
      </c>
      <c r="B488" s="8" t="s">
        <v>45</v>
      </c>
      <c r="C488" s="6" t="s">
        <v>172</v>
      </c>
      <c r="D488" s="6" t="s">
        <v>307</v>
      </c>
      <c r="E488" s="8" t="s">
        <v>308</v>
      </c>
      <c r="F488" s="30" t="n">
        <v>1</v>
      </c>
      <c r="G488" s="15" t="s">
        <v>815</v>
      </c>
    </row>
    <row r="489" customFormat="false" ht="28.35" hidden="false" customHeight="false" outlineLevel="0" collapsed="false">
      <c r="A489" s="8" t="s">
        <v>119</v>
      </c>
      <c r="B489" s="8" t="s">
        <v>45</v>
      </c>
      <c r="C489" s="6" t="s">
        <v>172</v>
      </c>
      <c r="D489" s="6" t="s">
        <v>311</v>
      </c>
      <c r="E489" s="8" t="s">
        <v>312</v>
      </c>
      <c r="F489" s="30" t="n">
        <v>1</v>
      </c>
      <c r="G489" s="15" t="s">
        <v>816</v>
      </c>
    </row>
    <row r="490" customFormat="false" ht="15" hidden="false" customHeight="false" outlineLevel="0" collapsed="false">
      <c r="A490" s="8" t="s">
        <v>119</v>
      </c>
      <c r="B490" s="8" t="s">
        <v>45</v>
      </c>
      <c r="C490" s="6" t="s">
        <v>172</v>
      </c>
      <c r="D490" s="6" t="s">
        <v>315</v>
      </c>
      <c r="E490" s="8" t="s">
        <v>316</v>
      </c>
      <c r="F490" s="30" t="n">
        <v>2</v>
      </c>
      <c r="G490" s="15" t="s">
        <v>817</v>
      </c>
    </row>
    <row r="491" customFormat="false" ht="15" hidden="false" customHeight="false" outlineLevel="0" collapsed="false">
      <c r="A491" s="8" t="s">
        <v>119</v>
      </c>
      <c r="B491" s="8" t="s">
        <v>45</v>
      </c>
      <c r="C491" s="6" t="s">
        <v>172</v>
      </c>
      <c r="D491" s="6" t="s">
        <v>318</v>
      </c>
      <c r="E491" s="8" t="s">
        <v>319</v>
      </c>
      <c r="F491" s="30" t="n">
        <v>1</v>
      </c>
      <c r="G491" s="15" t="s">
        <v>818</v>
      </c>
    </row>
    <row r="492" customFormat="false" ht="15" hidden="false" customHeight="false" outlineLevel="0" collapsed="false">
      <c r="A492" s="8" t="s">
        <v>119</v>
      </c>
      <c r="B492" s="8" t="s">
        <v>45</v>
      </c>
      <c r="C492" s="6" t="s">
        <v>175</v>
      </c>
      <c r="D492" s="6" t="s">
        <v>324</v>
      </c>
      <c r="E492" s="8" t="s">
        <v>325</v>
      </c>
      <c r="F492" s="30" t="n">
        <v>1</v>
      </c>
      <c r="G492" s="15" t="s">
        <v>819</v>
      </c>
    </row>
    <row r="493" customFormat="false" ht="15" hidden="false" customHeight="false" outlineLevel="0" collapsed="false">
      <c r="A493" s="8" t="s">
        <v>119</v>
      </c>
      <c r="B493" s="8" t="s">
        <v>45</v>
      </c>
      <c r="C493" s="6" t="s">
        <v>175</v>
      </c>
      <c r="D493" s="6" t="s">
        <v>329</v>
      </c>
      <c r="E493" s="8" t="s">
        <v>330</v>
      </c>
      <c r="F493" s="30" t="n">
        <v>2</v>
      </c>
      <c r="G493" s="15" t="s">
        <v>820</v>
      </c>
    </row>
    <row r="494" customFormat="false" ht="15" hidden="false" customHeight="false" outlineLevel="0" collapsed="false">
      <c r="A494" s="8" t="s">
        <v>119</v>
      </c>
      <c r="B494" s="8" t="s">
        <v>45</v>
      </c>
      <c r="C494" s="6" t="s">
        <v>175</v>
      </c>
      <c r="D494" s="6" t="s">
        <v>333</v>
      </c>
      <c r="E494" s="8" t="s">
        <v>334</v>
      </c>
      <c r="F494" s="30" t="n">
        <v>1</v>
      </c>
      <c r="G494" s="15" t="s">
        <v>821</v>
      </c>
    </row>
    <row r="495" customFormat="false" ht="15" hidden="false" customHeight="false" outlineLevel="0" collapsed="false">
      <c r="A495" s="8" t="s">
        <v>123</v>
      </c>
      <c r="B495" s="8" t="s">
        <v>45</v>
      </c>
      <c r="C495" s="6" t="s">
        <v>163</v>
      </c>
      <c r="D495" s="6" t="s">
        <v>196</v>
      </c>
      <c r="E495" s="8" t="s">
        <v>197</v>
      </c>
      <c r="F495" s="30" t="n">
        <v>2</v>
      </c>
      <c r="G495" s="15" t="s">
        <v>822</v>
      </c>
    </row>
    <row r="496" customFormat="false" ht="15" hidden="false" customHeight="false" outlineLevel="0" collapsed="false">
      <c r="A496" s="8" t="s">
        <v>123</v>
      </c>
      <c r="B496" s="8" t="s">
        <v>45</v>
      </c>
      <c r="C496" s="6" t="s">
        <v>163</v>
      </c>
      <c r="D496" s="6" t="s">
        <v>201</v>
      </c>
      <c r="E496" s="8" t="s">
        <v>202</v>
      </c>
      <c r="F496" s="30" t="n">
        <v>0</v>
      </c>
      <c r="G496" s="15" t="s">
        <v>823</v>
      </c>
    </row>
    <row r="497" customFormat="false" ht="15" hidden="false" customHeight="false" outlineLevel="0" collapsed="false">
      <c r="A497" s="8" t="s">
        <v>123</v>
      </c>
      <c r="B497" s="8" t="s">
        <v>45</v>
      </c>
      <c r="C497" s="6" t="s">
        <v>163</v>
      </c>
      <c r="D497" s="6" t="s">
        <v>207</v>
      </c>
      <c r="E497" s="8" t="s">
        <v>208</v>
      </c>
      <c r="F497" s="30" t="n">
        <v>2</v>
      </c>
      <c r="G497" s="15" t="s">
        <v>824</v>
      </c>
    </row>
    <row r="498" customFormat="false" ht="15" hidden="false" customHeight="false" outlineLevel="0" collapsed="false">
      <c r="A498" s="8" t="s">
        <v>123</v>
      </c>
      <c r="B498" s="8" t="s">
        <v>45</v>
      </c>
      <c r="C498" s="6" t="s">
        <v>163</v>
      </c>
      <c r="D498" s="6" t="s">
        <v>213</v>
      </c>
      <c r="E498" s="8" t="s">
        <v>214</v>
      </c>
      <c r="F498" s="30" t="n">
        <v>1</v>
      </c>
      <c r="G498" s="15" t="s">
        <v>825</v>
      </c>
    </row>
    <row r="499" customFormat="false" ht="15" hidden="false" customHeight="false" outlineLevel="0" collapsed="false">
      <c r="A499" s="8" t="s">
        <v>123</v>
      </c>
      <c r="B499" s="8" t="s">
        <v>45</v>
      </c>
      <c r="C499" s="6" t="s">
        <v>163</v>
      </c>
      <c r="D499" s="6" t="s">
        <v>219</v>
      </c>
      <c r="E499" s="8" t="s">
        <v>220</v>
      </c>
      <c r="F499" s="30" t="n">
        <v>1</v>
      </c>
      <c r="G499" s="15" t="s">
        <v>826</v>
      </c>
    </row>
    <row r="500" customFormat="false" ht="15" hidden="false" customHeight="false" outlineLevel="0" collapsed="false">
      <c r="A500" s="8" t="s">
        <v>123</v>
      </c>
      <c r="B500" s="8" t="s">
        <v>45</v>
      </c>
      <c r="C500" s="6" t="s">
        <v>163</v>
      </c>
      <c r="D500" s="6" t="s">
        <v>225</v>
      </c>
      <c r="E500" s="8" t="s">
        <v>226</v>
      </c>
      <c r="F500" s="30" t="n">
        <v>0</v>
      </c>
      <c r="G500" s="15" t="s">
        <v>827</v>
      </c>
    </row>
    <row r="501" customFormat="false" ht="15" hidden="false" customHeight="false" outlineLevel="0" collapsed="false">
      <c r="A501" s="8" t="s">
        <v>123</v>
      </c>
      <c r="B501" s="8" t="s">
        <v>45</v>
      </c>
      <c r="C501" s="6" t="s">
        <v>163</v>
      </c>
      <c r="D501" s="6" t="s">
        <v>230</v>
      </c>
      <c r="E501" s="8" t="s">
        <v>231</v>
      </c>
      <c r="F501" s="30" t="s">
        <v>357</v>
      </c>
      <c r="G501" s="15" t="s">
        <v>404</v>
      </c>
    </row>
    <row r="502" customFormat="false" ht="15" hidden="false" customHeight="false" outlineLevel="0" collapsed="false">
      <c r="A502" s="8" t="s">
        <v>123</v>
      </c>
      <c r="B502" s="8" t="s">
        <v>45</v>
      </c>
      <c r="C502" s="6" t="s">
        <v>163</v>
      </c>
      <c r="D502" s="6" t="s">
        <v>236</v>
      </c>
      <c r="E502" s="8" t="s">
        <v>237</v>
      </c>
      <c r="F502" s="30" t="n">
        <v>1</v>
      </c>
      <c r="G502" s="15" t="s">
        <v>828</v>
      </c>
    </row>
    <row r="503" customFormat="false" ht="15" hidden="false" customHeight="false" outlineLevel="0" collapsed="false">
      <c r="A503" s="8" t="s">
        <v>123</v>
      </c>
      <c r="B503" s="8" t="s">
        <v>45</v>
      </c>
      <c r="C503" s="6" t="s">
        <v>166</v>
      </c>
      <c r="D503" s="6" t="s">
        <v>242</v>
      </c>
      <c r="E503" s="8" t="s">
        <v>243</v>
      </c>
      <c r="F503" s="30" t="n">
        <v>2</v>
      </c>
      <c r="G503" s="15" t="s">
        <v>829</v>
      </c>
    </row>
    <row r="504" customFormat="false" ht="15" hidden="false" customHeight="false" outlineLevel="0" collapsed="false">
      <c r="A504" s="8" t="s">
        <v>123</v>
      </c>
      <c r="B504" s="8" t="s">
        <v>45</v>
      </c>
      <c r="C504" s="6" t="s">
        <v>166</v>
      </c>
      <c r="D504" s="6" t="s">
        <v>247</v>
      </c>
      <c r="E504" s="8" t="s">
        <v>248</v>
      </c>
      <c r="F504" s="30" t="n">
        <v>2</v>
      </c>
      <c r="G504" s="15" t="s">
        <v>830</v>
      </c>
    </row>
    <row r="505" customFormat="false" ht="15" hidden="false" customHeight="false" outlineLevel="0" collapsed="false">
      <c r="A505" s="8" t="s">
        <v>123</v>
      </c>
      <c r="B505" s="8" t="s">
        <v>45</v>
      </c>
      <c r="C505" s="6" t="s">
        <v>166</v>
      </c>
      <c r="D505" s="6" t="s">
        <v>252</v>
      </c>
      <c r="E505" s="8" t="s">
        <v>253</v>
      </c>
      <c r="F505" s="30" t="n">
        <v>1</v>
      </c>
      <c r="G505" s="15" t="s">
        <v>831</v>
      </c>
    </row>
    <row r="506" customFormat="false" ht="15" hidden="false" customHeight="false" outlineLevel="0" collapsed="false">
      <c r="A506" s="8" t="s">
        <v>123</v>
      </c>
      <c r="B506" s="8" t="s">
        <v>45</v>
      </c>
      <c r="C506" s="6" t="s">
        <v>166</v>
      </c>
      <c r="D506" s="6" t="s">
        <v>257</v>
      </c>
      <c r="E506" s="8" t="s">
        <v>258</v>
      </c>
      <c r="F506" s="30" t="n">
        <v>1</v>
      </c>
      <c r="G506" s="15" t="s">
        <v>832</v>
      </c>
    </row>
    <row r="507" customFormat="false" ht="15" hidden="false" customHeight="false" outlineLevel="0" collapsed="false">
      <c r="A507" s="8" t="s">
        <v>123</v>
      </c>
      <c r="B507" s="8" t="s">
        <v>45</v>
      </c>
      <c r="C507" s="6" t="s">
        <v>166</v>
      </c>
      <c r="D507" s="6" t="s">
        <v>262</v>
      </c>
      <c r="E507" s="8" t="s">
        <v>263</v>
      </c>
      <c r="F507" s="30" t="n">
        <v>1</v>
      </c>
      <c r="G507" s="15" t="s">
        <v>833</v>
      </c>
    </row>
    <row r="508" customFormat="false" ht="15" hidden="false" customHeight="false" outlineLevel="0" collapsed="false">
      <c r="A508" s="8" t="s">
        <v>123</v>
      </c>
      <c r="B508" s="8" t="s">
        <v>45</v>
      </c>
      <c r="C508" s="6" t="s">
        <v>166</v>
      </c>
      <c r="D508" s="6" t="s">
        <v>267</v>
      </c>
      <c r="E508" s="8" t="s">
        <v>268</v>
      </c>
      <c r="F508" s="30" t="n">
        <v>1</v>
      </c>
      <c r="G508" s="15" t="s">
        <v>834</v>
      </c>
    </row>
    <row r="509" customFormat="false" ht="15" hidden="false" customHeight="false" outlineLevel="0" collapsed="false">
      <c r="A509" s="8" t="s">
        <v>123</v>
      </c>
      <c r="B509" s="8" t="s">
        <v>45</v>
      </c>
      <c r="C509" s="6" t="s">
        <v>166</v>
      </c>
      <c r="D509" s="6" t="s">
        <v>272</v>
      </c>
      <c r="E509" s="8" t="s">
        <v>273</v>
      </c>
      <c r="F509" s="30" t="n">
        <v>0</v>
      </c>
      <c r="G509" s="15" t="s">
        <v>835</v>
      </c>
    </row>
    <row r="510" customFormat="false" ht="15" hidden="false" customHeight="false" outlineLevel="0" collapsed="false">
      <c r="A510" s="8" t="s">
        <v>123</v>
      </c>
      <c r="B510" s="8" t="s">
        <v>45</v>
      </c>
      <c r="C510" s="6" t="s">
        <v>166</v>
      </c>
      <c r="D510" s="6" t="s">
        <v>276</v>
      </c>
      <c r="E510" s="8" t="s">
        <v>277</v>
      </c>
      <c r="F510" s="30" t="n">
        <v>1</v>
      </c>
      <c r="G510" s="15" t="s">
        <v>836</v>
      </c>
    </row>
    <row r="511" customFormat="false" ht="15" hidden="false" customHeight="false" outlineLevel="0" collapsed="false">
      <c r="A511" s="8" t="s">
        <v>123</v>
      </c>
      <c r="B511" s="8" t="s">
        <v>45</v>
      </c>
      <c r="C511" s="6" t="s">
        <v>169</v>
      </c>
      <c r="D511" s="6" t="s">
        <v>280</v>
      </c>
      <c r="E511" s="8" t="s">
        <v>281</v>
      </c>
      <c r="F511" s="30" t="n">
        <v>2</v>
      </c>
      <c r="G511" s="15" t="s">
        <v>837</v>
      </c>
    </row>
    <row r="512" customFormat="false" ht="15" hidden="false" customHeight="false" outlineLevel="0" collapsed="false">
      <c r="A512" s="8" t="s">
        <v>123</v>
      </c>
      <c r="B512" s="8" t="s">
        <v>45</v>
      </c>
      <c r="C512" s="6" t="s">
        <v>169</v>
      </c>
      <c r="D512" s="6" t="s">
        <v>285</v>
      </c>
      <c r="E512" s="8" t="s">
        <v>286</v>
      </c>
      <c r="F512" s="30" t="n">
        <v>1</v>
      </c>
      <c r="G512" s="15" t="s">
        <v>838</v>
      </c>
    </row>
    <row r="513" customFormat="false" ht="15" hidden="false" customHeight="false" outlineLevel="0" collapsed="false">
      <c r="A513" s="8" t="s">
        <v>123</v>
      </c>
      <c r="B513" s="8" t="s">
        <v>45</v>
      </c>
      <c r="C513" s="6" t="s">
        <v>169</v>
      </c>
      <c r="D513" s="6" t="s">
        <v>290</v>
      </c>
      <c r="E513" s="8" t="s">
        <v>291</v>
      </c>
      <c r="F513" s="30" t="s">
        <v>357</v>
      </c>
      <c r="G513" s="15" t="s">
        <v>839</v>
      </c>
    </row>
    <row r="514" customFormat="false" ht="15" hidden="false" customHeight="false" outlineLevel="0" collapsed="false">
      <c r="A514" s="8" t="s">
        <v>123</v>
      </c>
      <c r="B514" s="8" t="s">
        <v>45</v>
      </c>
      <c r="C514" s="6" t="s">
        <v>169</v>
      </c>
      <c r="D514" s="6" t="s">
        <v>295</v>
      </c>
      <c r="E514" s="8" t="s">
        <v>296</v>
      </c>
      <c r="F514" s="30" t="n">
        <v>2</v>
      </c>
      <c r="G514" s="15" t="s">
        <v>840</v>
      </c>
    </row>
    <row r="515" customFormat="false" ht="15" hidden="false" customHeight="false" outlineLevel="0" collapsed="false">
      <c r="A515" s="8" t="s">
        <v>123</v>
      </c>
      <c r="B515" s="8" t="s">
        <v>45</v>
      </c>
      <c r="C515" s="6" t="s">
        <v>169</v>
      </c>
      <c r="D515" s="6" t="s">
        <v>299</v>
      </c>
      <c r="E515" s="8" t="s">
        <v>300</v>
      </c>
      <c r="F515" s="30" t="n">
        <v>1</v>
      </c>
      <c r="G515" s="15" t="s">
        <v>841</v>
      </c>
    </row>
    <row r="516" customFormat="false" ht="15" hidden="false" customHeight="false" outlineLevel="0" collapsed="false">
      <c r="A516" s="8" t="s">
        <v>123</v>
      </c>
      <c r="B516" s="8" t="s">
        <v>45</v>
      </c>
      <c r="C516" s="6" t="s">
        <v>172</v>
      </c>
      <c r="D516" s="6" t="s">
        <v>303</v>
      </c>
      <c r="E516" s="8" t="s">
        <v>304</v>
      </c>
      <c r="F516" s="30" t="n">
        <v>2</v>
      </c>
      <c r="G516" s="15" t="s">
        <v>842</v>
      </c>
    </row>
    <row r="517" customFormat="false" ht="15" hidden="false" customHeight="false" outlineLevel="0" collapsed="false">
      <c r="A517" s="8" t="s">
        <v>123</v>
      </c>
      <c r="B517" s="8" t="s">
        <v>45</v>
      </c>
      <c r="C517" s="6" t="s">
        <v>172</v>
      </c>
      <c r="D517" s="6" t="s">
        <v>307</v>
      </c>
      <c r="E517" s="8" t="s">
        <v>308</v>
      </c>
      <c r="F517" s="30" t="n">
        <v>2</v>
      </c>
      <c r="G517" s="15" t="s">
        <v>843</v>
      </c>
    </row>
    <row r="518" customFormat="false" ht="15" hidden="false" customHeight="false" outlineLevel="0" collapsed="false">
      <c r="A518" s="8" t="s">
        <v>123</v>
      </c>
      <c r="B518" s="8" t="s">
        <v>45</v>
      </c>
      <c r="C518" s="6" t="s">
        <v>172</v>
      </c>
      <c r="D518" s="6" t="s">
        <v>311</v>
      </c>
      <c r="E518" s="8" t="s">
        <v>312</v>
      </c>
      <c r="F518" s="30" t="n">
        <v>1</v>
      </c>
      <c r="G518" s="15" t="s">
        <v>844</v>
      </c>
    </row>
    <row r="519" customFormat="false" ht="15" hidden="false" customHeight="false" outlineLevel="0" collapsed="false">
      <c r="A519" s="8" t="s">
        <v>123</v>
      </c>
      <c r="B519" s="8" t="s">
        <v>45</v>
      </c>
      <c r="C519" s="6" t="s">
        <v>172</v>
      </c>
      <c r="D519" s="6" t="s">
        <v>315</v>
      </c>
      <c r="E519" s="8" t="s">
        <v>316</v>
      </c>
      <c r="F519" s="30" t="n">
        <v>2</v>
      </c>
      <c r="G519" s="15" t="s">
        <v>845</v>
      </c>
    </row>
    <row r="520" customFormat="false" ht="15" hidden="false" customHeight="false" outlineLevel="0" collapsed="false">
      <c r="A520" s="8" t="s">
        <v>123</v>
      </c>
      <c r="B520" s="8" t="s">
        <v>45</v>
      </c>
      <c r="C520" s="6" t="s">
        <v>172</v>
      </c>
      <c r="D520" s="6" t="s">
        <v>318</v>
      </c>
      <c r="E520" s="8" t="s">
        <v>319</v>
      </c>
      <c r="F520" s="30" t="n">
        <v>1</v>
      </c>
      <c r="G520" s="15" t="s">
        <v>846</v>
      </c>
    </row>
    <row r="521" customFormat="false" ht="15" hidden="false" customHeight="false" outlineLevel="0" collapsed="false">
      <c r="A521" s="8" t="s">
        <v>123</v>
      </c>
      <c r="B521" s="8" t="s">
        <v>45</v>
      </c>
      <c r="C521" s="6" t="s">
        <v>175</v>
      </c>
      <c r="D521" s="6" t="s">
        <v>324</v>
      </c>
      <c r="E521" s="8" t="s">
        <v>325</v>
      </c>
      <c r="F521" s="30" t="n">
        <v>1</v>
      </c>
      <c r="G521" s="15" t="s">
        <v>847</v>
      </c>
    </row>
    <row r="522" customFormat="false" ht="15" hidden="false" customHeight="false" outlineLevel="0" collapsed="false">
      <c r="A522" s="8" t="s">
        <v>123</v>
      </c>
      <c r="B522" s="8" t="s">
        <v>45</v>
      </c>
      <c r="C522" s="6" t="s">
        <v>175</v>
      </c>
      <c r="D522" s="6" t="s">
        <v>329</v>
      </c>
      <c r="E522" s="8" t="s">
        <v>330</v>
      </c>
      <c r="F522" s="30" t="n">
        <v>1</v>
      </c>
      <c r="G522" s="15" t="s">
        <v>848</v>
      </c>
    </row>
    <row r="523" customFormat="false" ht="15" hidden="false" customHeight="false" outlineLevel="0" collapsed="false">
      <c r="A523" s="8" t="s">
        <v>123</v>
      </c>
      <c r="B523" s="8" t="s">
        <v>45</v>
      </c>
      <c r="C523" s="6" t="s">
        <v>175</v>
      </c>
      <c r="D523" s="6" t="s">
        <v>333</v>
      </c>
      <c r="E523" s="8" t="s">
        <v>334</v>
      </c>
      <c r="F523" s="30" t="n">
        <v>2</v>
      </c>
      <c r="G523" s="15" t="s">
        <v>849</v>
      </c>
    </row>
    <row r="524" customFormat="false" ht="15" hidden="false" customHeight="false" outlineLevel="0" collapsed="false">
      <c r="A524" s="8" t="s">
        <v>126</v>
      </c>
      <c r="B524" s="8" t="s">
        <v>45</v>
      </c>
      <c r="C524" s="6" t="s">
        <v>163</v>
      </c>
      <c r="D524" s="6" t="s">
        <v>196</v>
      </c>
      <c r="E524" s="8" t="s">
        <v>197</v>
      </c>
      <c r="F524" s="30" t="n">
        <v>2</v>
      </c>
      <c r="G524" s="15" t="s">
        <v>850</v>
      </c>
    </row>
    <row r="525" customFormat="false" ht="15" hidden="false" customHeight="false" outlineLevel="0" collapsed="false">
      <c r="A525" s="8" t="s">
        <v>126</v>
      </c>
      <c r="B525" s="8" t="s">
        <v>45</v>
      </c>
      <c r="C525" s="6" t="s">
        <v>163</v>
      </c>
      <c r="D525" s="6" t="s">
        <v>201</v>
      </c>
      <c r="E525" s="8" t="s">
        <v>202</v>
      </c>
      <c r="F525" s="30" t="n">
        <v>1</v>
      </c>
      <c r="G525" s="15" t="s">
        <v>851</v>
      </c>
    </row>
    <row r="526" customFormat="false" ht="15" hidden="false" customHeight="false" outlineLevel="0" collapsed="false">
      <c r="A526" s="8" t="s">
        <v>126</v>
      </c>
      <c r="B526" s="8" t="s">
        <v>45</v>
      </c>
      <c r="C526" s="6" t="s">
        <v>163</v>
      </c>
      <c r="D526" s="6" t="s">
        <v>207</v>
      </c>
      <c r="E526" s="8" t="s">
        <v>208</v>
      </c>
      <c r="F526" s="30" t="n">
        <v>1</v>
      </c>
      <c r="G526" s="15" t="s">
        <v>852</v>
      </c>
    </row>
    <row r="527" customFormat="false" ht="15" hidden="false" customHeight="false" outlineLevel="0" collapsed="false">
      <c r="A527" s="8" t="s">
        <v>126</v>
      </c>
      <c r="B527" s="8" t="s">
        <v>45</v>
      </c>
      <c r="C527" s="6" t="s">
        <v>163</v>
      </c>
      <c r="D527" s="6" t="s">
        <v>213</v>
      </c>
      <c r="E527" s="8" t="s">
        <v>214</v>
      </c>
      <c r="F527" s="30" t="n">
        <v>1</v>
      </c>
      <c r="G527" s="15" t="s">
        <v>853</v>
      </c>
    </row>
    <row r="528" customFormat="false" ht="15" hidden="false" customHeight="false" outlineLevel="0" collapsed="false">
      <c r="A528" s="8" t="s">
        <v>126</v>
      </c>
      <c r="B528" s="8" t="s">
        <v>45</v>
      </c>
      <c r="C528" s="6" t="s">
        <v>163</v>
      </c>
      <c r="D528" s="6" t="s">
        <v>219</v>
      </c>
      <c r="E528" s="8" t="s">
        <v>220</v>
      </c>
      <c r="F528" s="30" t="n">
        <v>0</v>
      </c>
      <c r="G528" s="15" t="s">
        <v>854</v>
      </c>
    </row>
    <row r="529" customFormat="false" ht="15" hidden="false" customHeight="false" outlineLevel="0" collapsed="false">
      <c r="A529" s="8" t="s">
        <v>126</v>
      </c>
      <c r="B529" s="8" t="s">
        <v>45</v>
      </c>
      <c r="C529" s="6" t="s">
        <v>163</v>
      </c>
      <c r="D529" s="6" t="s">
        <v>225</v>
      </c>
      <c r="E529" s="8" t="s">
        <v>226</v>
      </c>
      <c r="F529" s="30" t="n">
        <v>2</v>
      </c>
      <c r="G529" s="15" t="s">
        <v>855</v>
      </c>
    </row>
    <row r="530" customFormat="false" ht="15" hidden="false" customHeight="false" outlineLevel="0" collapsed="false">
      <c r="A530" s="8" t="s">
        <v>126</v>
      </c>
      <c r="B530" s="8" t="s">
        <v>45</v>
      </c>
      <c r="C530" s="6" t="s">
        <v>163</v>
      </c>
      <c r="D530" s="6" t="s">
        <v>230</v>
      </c>
      <c r="E530" s="8" t="s">
        <v>231</v>
      </c>
      <c r="F530" s="30" t="s">
        <v>357</v>
      </c>
      <c r="G530" s="15" t="s">
        <v>404</v>
      </c>
    </row>
    <row r="531" customFormat="false" ht="15" hidden="false" customHeight="false" outlineLevel="0" collapsed="false">
      <c r="A531" s="8" t="s">
        <v>126</v>
      </c>
      <c r="B531" s="8" t="s">
        <v>45</v>
      </c>
      <c r="C531" s="6" t="s">
        <v>163</v>
      </c>
      <c r="D531" s="6" t="s">
        <v>236</v>
      </c>
      <c r="E531" s="8" t="s">
        <v>237</v>
      </c>
      <c r="F531" s="30" t="n">
        <v>2</v>
      </c>
      <c r="G531" s="15" t="s">
        <v>856</v>
      </c>
    </row>
    <row r="532" customFormat="false" ht="15" hidden="false" customHeight="false" outlineLevel="0" collapsed="false">
      <c r="A532" s="8" t="s">
        <v>126</v>
      </c>
      <c r="B532" s="8" t="s">
        <v>45</v>
      </c>
      <c r="C532" s="6" t="s">
        <v>166</v>
      </c>
      <c r="D532" s="6" t="s">
        <v>242</v>
      </c>
      <c r="E532" s="8" t="s">
        <v>243</v>
      </c>
      <c r="F532" s="30" t="n">
        <v>1</v>
      </c>
      <c r="G532" s="15" t="s">
        <v>857</v>
      </c>
    </row>
    <row r="533" customFormat="false" ht="15" hidden="false" customHeight="false" outlineLevel="0" collapsed="false">
      <c r="A533" s="8" t="s">
        <v>126</v>
      </c>
      <c r="B533" s="8" t="s">
        <v>45</v>
      </c>
      <c r="C533" s="6" t="s">
        <v>166</v>
      </c>
      <c r="D533" s="6" t="s">
        <v>247</v>
      </c>
      <c r="E533" s="8" t="s">
        <v>248</v>
      </c>
      <c r="F533" s="30" t="n">
        <v>0</v>
      </c>
      <c r="G533" s="15" t="s">
        <v>858</v>
      </c>
    </row>
    <row r="534" customFormat="false" ht="15" hidden="false" customHeight="false" outlineLevel="0" collapsed="false">
      <c r="A534" s="8" t="s">
        <v>126</v>
      </c>
      <c r="B534" s="8" t="s">
        <v>45</v>
      </c>
      <c r="C534" s="6" t="s">
        <v>166</v>
      </c>
      <c r="D534" s="6" t="s">
        <v>252</v>
      </c>
      <c r="E534" s="8" t="s">
        <v>253</v>
      </c>
      <c r="F534" s="30" t="n">
        <v>1</v>
      </c>
      <c r="G534" s="15" t="s">
        <v>859</v>
      </c>
    </row>
    <row r="535" customFormat="false" ht="15" hidden="false" customHeight="false" outlineLevel="0" collapsed="false">
      <c r="A535" s="8" t="s">
        <v>126</v>
      </c>
      <c r="B535" s="8" t="s">
        <v>45</v>
      </c>
      <c r="C535" s="6" t="s">
        <v>166</v>
      </c>
      <c r="D535" s="6" t="s">
        <v>257</v>
      </c>
      <c r="E535" s="8" t="s">
        <v>258</v>
      </c>
      <c r="F535" s="30" t="n">
        <v>2</v>
      </c>
      <c r="G535" s="15" t="s">
        <v>860</v>
      </c>
    </row>
    <row r="536" customFormat="false" ht="15" hidden="false" customHeight="false" outlineLevel="0" collapsed="false">
      <c r="A536" s="8" t="s">
        <v>126</v>
      </c>
      <c r="B536" s="8" t="s">
        <v>45</v>
      </c>
      <c r="C536" s="6" t="s">
        <v>166</v>
      </c>
      <c r="D536" s="6" t="s">
        <v>262</v>
      </c>
      <c r="E536" s="8" t="s">
        <v>263</v>
      </c>
      <c r="F536" s="30" t="n">
        <v>2</v>
      </c>
      <c r="G536" s="15" t="s">
        <v>861</v>
      </c>
    </row>
    <row r="537" customFormat="false" ht="15" hidden="false" customHeight="false" outlineLevel="0" collapsed="false">
      <c r="A537" s="8" t="s">
        <v>126</v>
      </c>
      <c r="B537" s="8" t="s">
        <v>45</v>
      </c>
      <c r="C537" s="6" t="s">
        <v>166</v>
      </c>
      <c r="D537" s="6" t="s">
        <v>267</v>
      </c>
      <c r="E537" s="8" t="s">
        <v>268</v>
      </c>
      <c r="F537" s="30" t="n">
        <v>0</v>
      </c>
      <c r="G537" s="15" t="s">
        <v>862</v>
      </c>
    </row>
    <row r="538" customFormat="false" ht="15" hidden="false" customHeight="false" outlineLevel="0" collapsed="false">
      <c r="A538" s="8" t="s">
        <v>126</v>
      </c>
      <c r="B538" s="8" t="s">
        <v>45</v>
      </c>
      <c r="C538" s="6" t="s">
        <v>166</v>
      </c>
      <c r="D538" s="6" t="s">
        <v>272</v>
      </c>
      <c r="E538" s="8" t="s">
        <v>273</v>
      </c>
      <c r="F538" s="30" t="n">
        <v>1</v>
      </c>
      <c r="G538" s="15" t="s">
        <v>863</v>
      </c>
    </row>
    <row r="539" customFormat="false" ht="15" hidden="false" customHeight="false" outlineLevel="0" collapsed="false">
      <c r="A539" s="8" t="s">
        <v>126</v>
      </c>
      <c r="B539" s="8" t="s">
        <v>45</v>
      </c>
      <c r="C539" s="6" t="s">
        <v>166</v>
      </c>
      <c r="D539" s="6" t="s">
        <v>276</v>
      </c>
      <c r="E539" s="8" t="s">
        <v>277</v>
      </c>
      <c r="F539" s="30" t="n">
        <v>1</v>
      </c>
      <c r="G539" s="15" t="s">
        <v>864</v>
      </c>
    </row>
    <row r="540" customFormat="false" ht="15" hidden="false" customHeight="false" outlineLevel="0" collapsed="false">
      <c r="A540" s="8" t="s">
        <v>126</v>
      </c>
      <c r="B540" s="8" t="s">
        <v>45</v>
      </c>
      <c r="C540" s="6" t="s">
        <v>169</v>
      </c>
      <c r="D540" s="6" t="s">
        <v>280</v>
      </c>
      <c r="E540" s="8" t="s">
        <v>281</v>
      </c>
      <c r="F540" s="30" t="n">
        <v>2</v>
      </c>
      <c r="G540" s="15" t="s">
        <v>865</v>
      </c>
    </row>
    <row r="541" customFormat="false" ht="15" hidden="false" customHeight="false" outlineLevel="0" collapsed="false">
      <c r="A541" s="8" t="s">
        <v>126</v>
      </c>
      <c r="B541" s="8" t="s">
        <v>45</v>
      </c>
      <c r="C541" s="6" t="s">
        <v>169</v>
      </c>
      <c r="D541" s="6" t="s">
        <v>285</v>
      </c>
      <c r="E541" s="8" t="s">
        <v>286</v>
      </c>
      <c r="F541" s="30" t="n">
        <v>1</v>
      </c>
      <c r="G541" s="15" t="s">
        <v>866</v>
      </c>
    </row>
    <row r="542" customFormat="false" ht="15" hidden="false" customHeight="false" outlineLevel="0" collapsed="false">
      <c r="A542" s="8" t="s">
        <v>126</v>
      </c>
      <c r="B542" s="8" t="s">
        <v>45</v>
      </c>
      <c r="C542" s="6" t="s">
        <v>169</v>
      </c>
      <c r="D542" s="6" t="s">
        <v>290</v>
      </c>
      <c r="E542" s="8" t="s">
        <v>291</v>
      </c>
      <c r="F542" s="30" t="s">
        <v>357</v>
      </c>
      <c r="G542" s="15" t="s">
        <v>867</v>
      </c>
    </row>
    <row r="543" customFormat="false" ht="15" hidden="false" customHeight="false" outlineLevel="0" collapsed="false">
      <c r="A543" s="8" t="s">
        <v>126</v>
      </c>
      <c r="B543" s="8" t="s">
        <v>45</v>
      </c>
      <c r="C543" s="6" t="s">
        <v>169</v>
      </c>
      <c r="D543" s="6" t="s">
        <v>295</v>
      </c>
      <c r="E543" s="8" t="s">
        <v>296</v>
      </c>
      <c r="F543" s="30" t="n">
        <v>1</v>
      </c>
      <c r="G543" s="15" t="s">
        <v>868</v>
      </c>
    </row>
    <row r="544" customFormat="false" ht="15" hidden="false" customHeight="false" outlineLevel="0" collapsed="false">
      <c r="A544" s="8" t="s">
        <v>126</v>
      </c>
      <c r="B544" s="8" t="s">
        <v>45</v>
      </c>
      <c r="C544" s="6" t="s">
        <v>169</v>
      </c>
      <c r="D544" s="6" t="s">
        <v>299</v>
      </c>
      <c r="E544" s="8" t="s">
        <v>300</v>
      </c>
      <c r="F544" s="30" t="n">
        <v>0</v>
      </c>
      <c r="G544" s="15" t="s">
        <v>869</v>
      </c>
    </row>
    <row r="545" customFormat="false" ht="15" hidden="false" customHeight="false" outlineLevel="0" collapsed="false">
      <c r="A545" s="8" t="s">
        <v>126</v>
      </c>
      <c r="B545" s="8" t="s">
        <v>45</v>
      </c>
      <c r="C545" s="6" t="s">
        <v>172</v>
      </c>
      <c r="D545" s="6" t="s">
        <v>303</v>
      </c>
      <c r="E545" s="8" t="s">
        <v>304</v>
      </c>
      <c r="F545" s="30" t="n">
        <v>1</v>
      </c>
      <c r="G545" s="15" t="s">
        <v>870</v>
      </c>
    </row>
    <row r="546" customFormat="false" ht="15" hidden="false" customHeight="false" outlineLevel="0" collapsed="false">
      <c r="A546" s="8" t="s">
        <v>126</v>
      </c>
      <c r="B546" s="8" t="s">
        <v>45</v>
      </c>
      <c r="C546" s="6" t="s">
        <v>172</v>
      </c>
      <c r="D546" s="6" t="s">
        <v>307</v>
      </c>
      <c r="E546" s="8" t="s">
        <v>308</v>
      </c>
      <c r="F546" s="30" t="n">
        <v>2</v>
      </c>
      <c r="G546" s="15" t="s">
        <v>871</v>
      </c>
    </row>
    <row r="547" customFormat="false" ht="15" hidden="false" customHeight="false" outlineLevel="0" collapsed="false">
      <c r="A547" s="8" t="s">
        <v>126</v>
      </c>
      <c r="B547" s="8" t="s">
        <v>45</v>
      </c>
      <c r="C547" s="6" t="s">
        <v>172</v>
      </c>
      <c r="D547" s="6" t="s">
        <v>311</v>
      </c>
      <c r="E547" s="8" t="s">
        <v>312</v>
      </c>
      <c r="F547" s="30" t="n">
        <v>2</v>
      </c>
      <c r="G547" s="15" t="s">
        <v>872</v>
      </c>
    </row>
    <row r="548" customFormat="false" ht="15" hidden="false" customHeight="false" outlineLevel="0" collapsed="false">
      <c r="A548" s="8" t="s">
        <v>126</v>
      </c>
      <c r="B548" s="8" t="s">
        <v>45</v>
      </c>
      <c r="C548" s="6" t="s">
        <v>172</v>
      </c>
      <c r="D548" s="6" t="s">
        <v>315</v>
      </c>
      <c r="E548" s="8" t="s">
        <v>316</v>
      </c>
      <c r="F548" s="30" t="n">
        <v>2</v>
      </c>
      <c r="G548" s="15" t="s">
        <v>873</v>
      </c>
    </row>
    <row r="549" customFormat="false" ht="15" hidden="false" customHeight="false" outlineLevel="0" collapsed="false">
      <c r="A549" s="8" t="s">
        <v>126</v>
      </c>
      <c r="B549" s="8" t="s">
        <v>45</v>
      </c>
      <c r="C549" s="6" t="s">
        <v>172</v>
      </c>
      <c r="D549" s="6" t="s">
        <v>318</v>
      </c>
      <c r="E549" s="8" t="s">
        <v>319</v>
      </c>
      <c r="F549" s="30" t="n">
        <v>1</v>
      </c>
      <c r="G549" s="15" t="s">
        <v>874</v>
      </c>
    </row>
    <row r="550" customFormat="false" ht="15" hidden="false" customHeight="false" outlineLevel="0" collapsed="false">
      <c r="A550" s="8" t="s">
        <v>126</v>
      </c>
      <c r="B550" s="8" t="s">
        <v>45</v>
      </c>
      <c r="C550" s="6" t="s">
        <v>175</v>
      </c>
      <c r="D550" s="6" t="s">
        <v>324</v>
      </c>
      <c r="E550" s="8" t="s">
        <v>325</v>
      </c>
      <c r="F550" s="30" t="n">
        <v>0</v>
      </c>
      <c r="G550" s="15" t="s">
        <v>875</v>
      </c>
    </row>
    <row r="551" customFormat="false" ht="15" hidden="false" customHeight="false" outlineLevel="0" collapsed="false">
      <c r="A551" s="8" t="s">
        <v>126</v>
      </c>
      <c r="B551" s="8" t="s">
        <v>45</v>
      </c>
      <c r="C551" s="6" t="s">
        <v>175</v>
      </c>
      <c r="D551" s="6" t="s">
        <v>329</v>
      </c>
      <c r="E551" s="8" t="s">
        <v>330</v>
      </c>
      <c r="F551" s="30" t="n">
        <v>1</v>
      </c>
      <c r="G551" s="15" t="s">
        <v>876</v>
      </c>
    </row>
    <row r="552" customFormat="false" ht="15" hidden="false" customHeight="false" outlineLevel="0" collapsed="false">
      <c r="A552" s="8" t="s">
        <v>126</v>
      </c>
      <c r="B552" s="8" t="s">
        <v>45</v>
      </c>
      <c r="C552" s="6" t="s">
        <v>175</v>
      </c>
      <c r="D552" s="6" t="s">
        <v>333</v>
      </c>
      <c r="E552" s="8" t="s">
        <v>334</v>
      </c>
      <c r="F552" s="30" t="n">
        <v>1</v>
      </c>
      <c r="G552" s="15" t="s">
        <v>877</v>
      </c>
    </row>
    <row r="553" customFormat="false" ht="15" hidden="false" customHeight="false" outlineLevel="0" collapsed="false">
      <c r="A553" s="8" t="s">
        <v>129</v>
      </c>
      <c r="B553" s="8" t="s">
        <v>45</v>
      </c>
      <c r="C553" s="6" t="s">
        <v>163</v>
      </c>
      <c r="D553" s="6" t="s">
        <v>196</v>
      </c>
      <c r="E553" s="8" t="s">
        <v>197</v>
      </c>
      <c r="F553" s="30" t="n">
        <v>2</v>
      </c>
      <c r="G553" s="15" t="s">
        <v>878</v>
      </c>
    </row>
    <row r="554" customFormat="false" ht="15" hidden="false" customHeight="false" outlineLevel="0" collapsed="false">
      <c r="A554" s="8" t="s">
        <v>129</v>
      </c>
      <c r="B554" s="8" t="s">
        <v>45</v>
      </c>
      <c r="C554" s="6" t="s">
        <v>163</v>
      </c>
      <c r="D554" s="6" t="s">
        <v>201</v>
      </c>
      <c r="E554" s="8" t="s">
        <v>202</v>
      </c>
      <c r="F554" s="30" t="n">
        <v>1</v>
      </c>
      <c r="G554" s="15" t="s">
        <v>879</v>
      </c>
    </row>
    <row r="555" customFormat="false" ht="28.35" hidden="false" customHeight="false" outlineLevel="0" collapsed="false">
      <c r="A555" s="8" t="s">
        <v>129</v>
      </c>
      <c r="B555" s="8" t="s">
        <v>45</v>
      </c>
      <c r="C555" s="6" t="s">
        <v>163</v>
      </c>
      <c r="D555" s="6" t="s">
        <v>207</v>
      </c>
      <c r="E555" s="8" t="s">
        <v>208</v>
      </c>
      <c r="F555" s="30" t="n">
        <v>1</v>
      </c>
      <c r="G555" s="15" t="s">
        <v>880</v>
      </c>
    </row>
    <row r="556" customFormat="false" ht="15" hidden="false" customHeight="false" outlineLevel="0" collapsed="false">
      <c r="A556" s="8" t="s">
        <v>129</v>
      </c>
      <c r="B556" s="8" t="s">
        <v>45</v>
      </c>
      <c r="C556" s="6" t="s">
        <v>163</v>
      </c>
      <c r="D556" s="6" t="s">
        <v>213</v>
      </c>
      <c r="E556" s="8" t="s">
        <v>214</v>
      </c>
      <c r="F556" s="30" t="n">
        <v>1</v>
      </c>
      <c r="G556" s="15" t="s">
        <v>881</v>
      </c>
    </row>
    <row r="557" customFormat="false" ht="15" hidden="false" customHeight="false" outlineLevel="0" collapsed="false">
      <c r="A557" s="8" t="s">
        <v>129</v>
      </c>
      <c r="B557" s="8" t="s">
        <v>45</v>
      </c>
      <c r="C557" s="6" t="s">
        <v>163</v>
      </c>
      <c r="D557" s="6" t="s">
        <v>219</v>
      </c>
      <c r="E557" s="8" t="s">
        <v>220</v>
      </c>
      <c r="F557" s="30" t="n">
        <v>2</v>
      </c>
      <c r="G557" s="15" t="s">
        <v>882</v>
      </c>
    </row>
    <row r="558" customFormat="false" ht="15" hidden="false" customHeight="false" outlineLevel="0" collapsed="false">
      <c r="A558" s="8" t="s">
        <v>129</v>
      </c>
      <c r="B558" s="8" t="s">
        <v>45</v>
      </c>
      <c r="C558" s="6" t="s">
        <v>163</v>
      </c>
      <c r="D558" s="6" t="s">
        <v>225</v>
      </c>
      <c r="E558" s="8" t="s">
        <v>226</v>
      </c>
      <c r="F558" s="30" t="n">
        <v>2</v>
      </c>
      <c r="G558" s="15" t="s">
        <v>883</v>
      </c>
    </row>
    <row r="559" customFormat="false" ht="15" hidden="false" customHeight="false" outlineLevel="0" collapsed="false">
      <c r="A559" s="8" t="s">
        <v>129</v>
      </c>
      <c r="B559" s="8" t="s">
        <v>45</v>
      </c>
      <c r="C559" s="6" t="s">
        <v>163</v>
      </c>
      <c r="D559" s="6" t="s">
        <v>230</v>
      </c>
      <c r="E559" s="8" t="s">
        <v>231</v>
      </c>
      <c r="F559" s="30" t="s">
        <v>357</v>
      </c>
      <c r="G559" s="15" t="s">
        <v>575</v>
      </c>
    </row>
    <row r="560" customFormat="false" ht="15" hidden="false" customHeight="false" outlineLevel="0" collapsed="false">
      <c r="A560" s="8" t="s">
        <v>129</v>
      </c>
      <c r="B560" s="8" t="s">
        <v>45</v>
      </c>
      <c r="C560" s="6" t="s">
        <v>163</v>
      </c>
      <c r="D560" s="6" t="s">
        <v>236</v>
      </c>
      <c r="E560" s="8" t="s">
        <v>237</v>
      </c>
      <c r="F560" s="30" t="n">
        <v>2</v>
      </c>
      <c r="G560" s="15" t="s">
        <v>884</v>
      </c>
    </row>
    <row r="561" customFormat="false" ht="15" hidden="false" customHeight="false" outlineLevel="0" collapsed="false">
      <c r="A561" s="8" t="s">
        <v>129</v>
      </c>
      <c r="B561" s="8" t="s">
        <v>45</v>
      </c>
      <c r="C561" s="6" t="s">
        <v>166</v>
      </c>
      <c r="D561" s="6" t="s">
        <v>242</v>
      </c>
      <c r="E561" s="8" t="s">
        <v>243</v>
      </c>
      <c r="F561" s="30" t="n">
        <v>0</v>
      </c>
      <c r="G561" s="15" t="s">
        <v>885</v>
      </c>
    </row>
    <row r="562" customFormat="false" ht="15" hidden="false" customHeight="false" outlineLevel="0" collapsed="false">
      <c r="A562" s="8" t="s">
        <v>129</v>
      </c>
      <c r="B562" s="8" t="s">
        <v>45</v>
      </c>
      <c r="C562" s="6" t="s">
        <v>166</v>
      </c>
      <c r="D562" s="6" t="s">
        <v>247</v>
      </c>
      <c r="E562" s="8" t="s">
        <v>248</v>
      </c>
      <c r="F562" s="30" t="n">
        <v>1</v>
      </c>
      <c r="G562" s="15" t="s">
        <v>886</v>
      </c>
    </row>
    <row r="563" customFormat="false" ht="15" hidden="false" customHeight="false" outlineLevel="0" collapsed="false">
      <c r="A563" s="8" t="s">
        <v>129</v>
      </c>
      <c r="B563" s="8" t="s">
        <v>45</v>
      </c>
      <c r="C563" s="6" t="s">
        <v>166</v>
      </c>
      <c r="D563" s="6" t="s">
        <v>252</v>
      </c>
      <c r="E563" s="8" t="s">
        <v>253</v>
      </c>
      <c r="F563" s="30" t="n">
        <v>0</v>
      </c>
      <c r="G563" s="15" t="s">
        <v>887</v>
      </c>
    </row>
    <row r="564" customFormat="false" ht="15" hidden="false" customHeight="false" outlineLevel="0" collapsed="false">
      <c r="A564" s="8" t="s">
        <v>129</v>
      </c>
      <c r="B564" s="8" t="s">
        <v>45</v>
      </c>
      <c r="C564" s="6" t="s">
        <v>166</v>
      </c>
      <c r="D564" s="6" t="s">
        <v>257</v>
      </c>
      <c r="E564" s="8" t="s">
        <v>258</v>
      </c>
      <c r="F564" s="30" t="n">
        <v>1</v>
      </c>
      <c r="G564" s="15" t="s">
        <v>888</v>
      </c>
    </row>
    <row r="565" customFormat="false" ht="15" hidden="false" customHeight="false" outlineLevel="0" collapsed="false">
      <c r="A565" s="8" t="s">
        <v>129</v>
      </c>
      <c r="B565" s="8" t="s">
        <v>45</v>
      </c>
      <c r="C565" s="6" t="s">
        <v>166</v>
      </c>
      <c r="D565" s="6" t="s">
        <v>262</v>
      </c>
      <c r="E565" s="8" t="s">
        <v>263</v>
      </c>
      <c r="F565" s="30" t="n">
        <v>0</v>
      </c>
      <c r="G565" s="15" t="s">
        <v>889</v>
      </c>
    </row>
    <row r="566" customFormat="false" ht="15" hidden="false" customHeight="false" outlineLevel="0" collapsed="false">
      <c r="A566" s="8" t="s">
        <v>129</v>
      </c>
      <c r="B566" s="8" t="s">
        <v>45</v>
      </c>
      <c r="C566" s="6" t="s">
        <v>166</v>
      </c>
      <c r="D566" s="6" t="s">
        <v>267</v>
      </c>
      <c r="E566" s="8" t="s">
        <v>268</v>
      </c>
      <c r="F566" s="30" t="n">
        <v>0</v>
      </c>
      <c r="G566" s="15" t="s">
        <v>890</v>
      </c>
    </row>
    <row r="567" customFormat="false" ht="15" hidden="false" customHeight="false" outlineLevel="0" collapsed="false">
      <c r="A567" s="8" t="s">
        <v>129</v>
      </c>
      <c r="B567" s="8" t="s">
        <v>45</v>
      </c>
      <c r="C567" s="6" t="s">
        <v>166</v>
      </c>
      <c r="D567" s="6" t="s">
        <v>272</v>
      </c>
      <c r="E567" s="8" t="s">
        <v>273</v>
      </c>
      <c r="F567" s="30" t="n">
        <v>0</v>
      </c>
      <c r="G567" s="15" t="s">
        <v>891</v>
      </c>
    </row>
    <row r="568" customFormat="false" ht="15" hidden="false" customHeight="false" outlineLevel="0" collapsed="false">
      <c r="A568" s="8" t="s">
        <v>129</v>
      </c>
      <c r="B568" s="8" t="s">
        <v>45</v>
      </c>
      <c r="C568" s="6" t="s">
        <v>166</v>
      </c>
      <c r="D568" s="6" t="s">
        <v>276</v>
      </c>
      <c r="E568" s="8" t="s">
        <v>277</v>
      </c>
      <c r="F568" s="30" t="n">
        <v>0</v>
      </c>
      <c r="G568" s="15" t="s">
        <v>892</v>
      </c>
    </row>
    <row r="569" customFormat="false" ht="15" hidden="false" customHeight="false" outlineLevel="0" collapsed="false">
      <c r="A569" s="8" t="s">
        <v>129</v>
      </c>
      <c r="B569" s="8" t="s">
        <v>45</v>
      </c>
      <c r="C569" s="6" t="s">
        <v>169</v>
      </c>
      <c r="D569" s="6" t="s">
        <v>280</v>
      </c>
      <c r="E569" s="8" t="s">
        <v>281</v>
      </c>
      <c r="F569" s="30" t="n">
        <v>2</v>
      </c>
      <c r="G569" s="15" t="s">
        <v>893</v>
      </c>
    </row>
    <row r="570" customFormat="false" ht="15" hidden="false" customHeight="false" outlineLevel="0" collapsed="false">
      <c r="A570" s="8" t="s">
        <v>129</v>
      </c>
      <c r="B570" s="8" t="s">
        <v>45</v>
      </c>
      <c r="C570" s="6" t="s">
        <v>169</v>
      </c>
      <c r="D570" s="6" t="s">
        <v>285</v>
      </c>
      <c r="E570" s="8" t="s">
        <v>286</v>
      </c>
      <c r="F570" s="30" t="n">
        <v>1</v>
      </c>
      <c r="G570" s="15" t="s">
        <v>894</v>
      </c>
    </row>
    <row r="571" customFormat="false" ht="15" hidden="false" customHeight="false" outlineLevel="0" collapsed="false">
      <c r="A571" s="8" t="s">
        <v>129</v>
      </c>
      <c r="B571" s="8" t="s">
        <v>45</v>
      </c>
      <c r="C571" s="6" t="s">
        <v>169</v>
      </c>
      <c r="D571" s="6" t="s">
        <v>290</v>
      </c>
      <c r="E571" s="8" t="s">
        <v>291</v>
      </c>
      <c r="F571" s="30" t="n">
        <v>2</v>
      </c>
      <c r="G571" s="15" t="s">
        <v>895</v>
      </c>
    </row>
    <row r="572" customFormat="false" ht="15" hidden="false" customHeight="false" outlineLevel="0" collapsed="false">
      <c r="A572" s="8" t="s">
        <v>129</v>
      </c>
      <c r="B572" s="8" t="s">
        <v>45</v>
      </c>
      <c r="C572" s="6" t="s">
        <v>169</v>
      </c>
      <c r="D572" s="6" t="s">
        <v>295</v>
      </c>
      <c r="E572" s="8" t="s">
        <v>296</v>
      </c>
      <c r="F572" s="30" t="n">
        <v>1</v>
      </c>
      <c r="G572" s="15" t="s">
        <v>896</v>
      </c>
    </row>
    <row r="573" customFormat="false" ht="15" hidden="false" customHeight="false" outlineLevel="0" collapsed="false">
      <c r="A573" s="8" t="s">
        <v>129</v>
      </c>
      <c r="B573" s="8" t="s">
        <v>45</v>
      </c>
      <c r="C573" s="6" t="s">
        <v>169</v>
      </c>
      <c r="D573" s="6" t="s">
        <v>299</v>
      </c>
      <c r="E573" s="8" t="s">
        <v>300</v>
      </c>
      <c r="F573" s="30" t="n">
        <v>1</v>
      </c>
      <c r="G573" s="15" t="s">
        <v>897</v>
      </c>
    </row>
    <row r="574" customFormat="false" ht="15" hidden="false" customHeight="false" outlineLevel="0" collapsed="false">
      <c r="A574" s="8" t="s">
        <v>129</v>
      </c>
      <c r="B574" s="8" t="s">
        <v>45</v>
      </c>
      <c r="C574" s="6" t="s">
        <v>172</v>
      </c>
      <c r="D574" s="6" t="s">
        <v>303</v>
      </c>
      <c r="E574" s="8" t="s">
        <v>304</v>
      </c>
      <c r="F574" s="30" t="n">
        <v>2</v>
      </c>
      <c r="G574" s="15" t="s">
        <v>898</v>
      </c>
    </row>
    <row r="575" customFormat="false" ht="15" hidden="false" customHeight="false" outlineLevel="0" collapsed="false">
      <c r="A575" s="8" t="s">
        <v>129</v>
      </c>
      <c r="B575" s="8" t="s">
        <v>45</v>
      </c>
      <c r="C575" s="6" t="s">
        <v>172</v>
      </c>
      <c r="D575" s="6" t="s">
        <v>307</v>
      </c>
      <c r="E575" s="8" t="s">
        <v>308</v>
      </c>
      <c r="F575" s="30" t="n">
        <v>2</v>
      </c>
      <c r="G575" s="15" t="s">
        <v>899</v>
      </c>
    </row>
    <row r="576" customFormat="false" ht="15" hidden="false" customHeight="false" outlineLevel="0" collapsed="false">
      <c r="A576" s="8" t="s">
        <v>129</v>
      </c>
      <c r="B576" s="8" t="s">
        <v>45</v>
      </c>
      <c r="C576" s="6" t="s">
        <v>172</v>
      </c>
      <c r="D576" s="6" t="s">
        <v>311</v>
      </c>
      <c r="E576" s="8" t="s">
        <v>312</v>
      </c>
      <c r="F576" s="30" t="n">
        <v>1</v>
      </c>
      <c r="G576" s="15" t="s">
        <v>900</v>
      </c>
    </row>
    <row r="577" customFormat="false" ht="15" hidden="false" customHeight="false" outlineLevel="0" collapsed="false">
      <c r="A577" s="8" t="s">
        <v>129</v>
      </c>
      <c r="B577" s="8" t="s">
        <v>45</v>
      </c>
      <c r="C577" s="6" t="s">
        <v>172</v>
      </c>
      <c r="D577" s="6" t="s">
        <v>315</v>
      </c>
      <c r="E577" s="8" t="s">
        <v>316</v>
      </c>
      <c r="F577" s="30" t="n">
        <v>2</v>
      </c>
      <c r="G577" s="15" t="s">
        <v>901</v>
      </c>
    </row>
    <row r="578" customFormat="false" ht="15" hidden="false" customHeight="false" outlineLevel="0" collapsed="false">
      <c r="A578" s="8" t="s">
        <v>129</v>
      </c>
      <c r="B578" s="8" t="s">
        <v>45</v>
      </c>
      <c r="C578" s="6" t="s">
        <v>172</v>
      </c>
      <c r="D578" s="6" t="s">
        <v>318</v>
      </c>
      <c r="E578" s="8" t="s">
        <v>319</v>
      </c>
      <c r="F578" s="30" t="n">
        <v>1</v>
      </c>
      <c r="G578" s="15" t="s">
        <v>902</v>
      </c>
    </row>
    <row r="579" customFormat="false" ht="15" hidden="false" customHeight="false" outlineLevel="0" collapsed="false">
      <c r="A579" s="8" t="s">
        <v>129</v>
      </c>
      <c r="B579" s="8" t="s">
        <v>45</v>
      </c>
      <c r="C579" s="6" t="s">
        <v>175</v>
      </c>
      <c r="D579" s="6" t="s">
        <v>324</v>
      </c>
      <c r="E579" s="8" t="s">
        <v>325</v>
      </c>
      <c r="F579" s="30" t="n">
        <v>1</v>
      </c>
      <c r="G579" s="15" t="s">
        <v>903</v>
      </c>
    </row>
    <row r="580" customFormat="false" ht="15" hidden="false" customHeight="false" outlineLevel="0" collapsed="false">
      <c r="A580" s="8" t="s">
        <v>129</v>
      </c>
      <c r="B580" s="8" t="s">
        <v>45</v>
      </c>
      <c r="C580" s="6" t="s">
        <v>175</v>
      </c>
      <c r="D580" s="6" t="s">
        <v>329</v>
      </c>
      <c r="E580" s="8" t="s">
        <v>330</v>
      </c>
      <c r="F580" s="30" t="n">
        <v>0</v>
      </c>
      <c r="G580" s="15" t="s">
        <v>904</v>
      </c>
    </row>
    <row r="581" customFormat="false" ht="15" hidden="false" customHeight="false" outlineLevel="0" collapsed="false">
      <c r="A581" s="8" t="s">
        <v>129</v>
      </c>
      <c r="B581" s="8" t="s">
        <v>45</v>
      </c>
      <c r="C581" s="6" t="s">
        <v>175</v>
      </c>
      <c r="D581" s="6" t="s">
        <v>333</v>
      </c>
      <c r="E581" s="8" t="s">
        <v>334</v>
      </c>
      <c r="F581" s="30" t="n">
        <v>2</v>
      </c>
      <c r="G581" s="15" t="s">
        <v>905</v>
      </c>
    </row>
    <row r="582" customFormat="false" ht="15" hidden="false" customHeight="false" outlineLevel="0" collapsed="false">
      <c r="A582" s="8" t="s">
        <v>132</v>
      </c>
      <c r="B582" s="8" t="s">
        <v>45</v>
      </c>
      <c r="C582" s="6" t="s">
        <v>163</v>
      </c>
      <c r="D582" s="6" t="s">
        <v>196</v>
      </c>
      <c r="E582" s="8" t="s">
        <v>197</v>
      </c>
      <c r="F582" s="30" t="n">
        <v>2</v>
      </c>
      <c r="G582" s="15" t="s">
        <v>906</v>
      </c>
    </row>
    <row r="583" customFormat="false" ht="15" hidden="false" customHeight="false" outlineLevel="0" collapsed="false">
      <c r="A583" s="8" t="s">
        <v>132</v>
      </c>
      <c r="B583" s="8" t="s">
        <v>45</v>
      </c>
      <c r="C583" s="6" t="s">
        <v>163</v>
      </c>
      <c r="D583" s="6" t="s">
        <v>201</v>
      </c>
      <c r="E583" s="8" t="s">
        <v>202</v>
      </c>
      <c r="F583" s="30" t="n">
        <v>1</v>
      </c>
      <c r="G583" s="15" t="s">
        <v>907</v>
      </c>
    </row>
    <row r="584" customFormat="false" ht="15" hidden="false" customHeight="false" outlineLevel="0" collapsed="false">
      <c r="A584" s="8" t="s">
        <v>132</v>
      </c>
      <c r="B584" s="8" t="s">
        <v>45</v>
      </c>
      <c r="C584" s="6" t="s">
        <v>163</v>
      </c>
      <c r="D584" s="6" t="s">
        <v>207</v>
      </c>
      <c r="E584" s="8" t="s">
        <v>208</v>
      </c>
      <c r="F584" s="30" t="n">
        <v>0</v>
      </c>
      <c r="G584" s="15" t="s">
        <v>908</v>
      </c>
    </row>
    <row r="585" customFormat="false" ht="15" hidden="false" customHeight="false" outlineLevel="0" collapsed="false">
      <c r="A585" s="8" t="s">
        <v>132</v>
      </c>
      <c r="B585" s="8" t="s">
        <v>45</v>
      </c>
      <c r="C585" s="6" t="s">
        <v>163</v>
      </c>
      <c r="D585" s="6" t="s">
        <v>213</v>
      </c>
      <c r="E585" s="8" t="s">
        <v>214</v>
      </c>
      <c r="F585" s="30" t="n">
        <v>1</v>
      </c>
      <c r="G585" s="15" t="s">
        <v>909</v>
      </c>
    </row>
    <row r="586" customFormat="false" ht="15" hidden="false" customHeight="false" outlineLevel="0" collapsed="false">
      <c r="A586" s="8" t="s">
        <v>132</v>
      </c>
      <c r="B586" s="8" t="s">
        <v>45</v>
      </c>
      <c r="C586" s="6" t="s">
        <v>163</v>
      </c>
      <c r="D586" s="6" t="s">
        <v>219</v>
      </c>
      <c r="E586" s="8" t="s">
        <v>220</v>
      </c>
      <c r="F586" s="30" t="n">
        <v>1</v>
      </c>
      <c r="G586" s="15" t="s">
        <v>910</v>
      </c>
    </row>
    <row r="587" customFormat="false" ht="15" hidden="false" customHeight="false" outlineLevel="0" collapsed="false">
      <c r="A587" s="8" t="s">
        <v>132</v>
      </c>
      <c r="B587" s="8" t="s">
        <v>45</v>
      </c>
      <c r="C587" s="6" t="s">
        <v>163</v>
      </c>
      <c r="D587" s="6" t="s">
        <v>225</v>
      </c>
      <c r="E587" s="8" t="s">
        <v>226</v>
      </c>
      <c r="F587" s="30" t="n">
        <v>2</v>
      </c>
      <c r="G587" s="15" t="s">
        <v>911</v>
      </c>
    </row>
    <row r="588" customFormat="false" ht="15" hidden="false" customHeight="false" outlineLevel="0" collapsed="false">
      <c r="A588" s="8" t="s">
        <v>132</v>
      </c>
      <c r="B588" s="8" t="s">
        <v>45</v>
      </c>
      <c r="C588" s="6" t="s">
        <v>163</v>
      </c>
      <c r="D588" s="6" t="s">
        <v>230</v>
      </c>
      <c r="E588" s="8" t="s">
        <v>231</v>
      </c>
      <c r="F588" s="30" t="s">
        <v>357</v>
      </c>
      <c r="G588" s="15" t="s">
        <v>575</v>
      </c>
    </row>
    <row r="589" customFormat="false" ht="15" hidden="false" customHeight="false" outlineLevel="0" collapsed="false">
      <c r="A589" s="8" t="s">
        <v>132</v>
      </c>
      <c r="B589" s="8" t="s">
        <v>45</v>
      </c>
      <c r="C589" s="6" t="s">
        <v>163</v>
      </c>
      <c r="D589" s="6" t="s">
        <v>236</v>
      </c>
      <c r="E589" s="8" t="s">
        <v>237</v>
      </c>
      <c r="F589" s="30" t="n">
        <v>2</v>
      </c>
      <c r="G589" s="15" t="s">
        <v>912</v>
      </c>
    </row>
    <row r="590" customFormat="false" ht="15" hidden="false" customHeight="false" outlineLevel="0" collapsed="false">
      <c r="A590" s="8" t="s">
        <v>132</v>
      </c>
      <c r="B590" s="8" t="s">
        <v>45</v>
      </c>
      <c r="C590" s="6" t="s">
        <v>166</v>
      </c>
      <c r="D590" s="6" t="s">
        <v>242</v>
      </c>
      <c r="E590" s="8" t="s">
        <v>243</v>
      </c>
      <c r="F590" s="30" t="n">
        <v>0</v>
      </c>
      <c r="G590" s="15" t="s">
        <v>913</v>
      </c>
    </row>
    <row r="591" customFormat="false" ht="15" hidden="false" customHeight="false" outlineLevel="0" collapsed="false">
      <c r="A591" s="8" t="s">
        <v>132</v>
      </c>
      <c r="B591" s="8" t="s">
        <v>45</v>
      </c>
      <c r="C591" s="6" t="s">
        <v>166</v>
      </c>
      <c r="D591" s="6" t="s">
        <v>247</v>
      </c>
      <c r="E591" s="8" t="s">
        <v>248</v>
      </c>
      <c r="F591" s="30" t="n">
        <v>1</v>
      </c>
      <c r="G591" s="15" t="s">
        <v>914</v>
      </c>
    </row>
    <row r="592" customFormat="false" ht="15" hidden="false" customHeight="false" outlineLevel="0" collapsed="false">
      <c r="A592" s="8" t="s">
        <v>132</v>
      </c>
      <c r="B592" s="8" t="s">
        <v>45</v>
      </c>
      <c r="C592" s="6" t="s">
        <v>166</v>
      </c>
      <c r="D592" s="6" t="s">
        <v>252</v>
      </c>
      <c r="E592" s="8" t="s">
        <v>253</v>
      </c>
      <c r="F592" s="30" t="n">
        <v>0</v>
      </c>
      <c r="G592" s="15" t="s">
        <v>915</v>
      </c>
    </row>
    <row r="593" customFormat="false" ht="15" hidden="false" customHeight="false" outlineLevel="0" collapsed="false">
      <c r="A593" s="8" t="s">
        <v>132</v>
      </c>
      <c r="B593" s="8" t="s">
        <v>45</v>
      </c>
      <c r="C593" s="6" t="s">
        <v>166</v>
      </c>
      <c r="D593" s="6" t="s">
        <v>257</v>
      </c>
      <c r="E593" s="8" t="s">
        <v>258</v>
      </c>
      <c r="F593" s="30" t="n">
        <v>0</v>
      </c>
      <c r="G593" s="15" t="s">
        <v>916</v>
      </c>
    </row>
    <row r="594" customFormat="false" ht="15" hidden="false" customHeight="false" outlineLevel="0" collapsed="false">
      <c r="A594" s="8" t="s">
        <v>132</v>
      </c>
      <c r="B594" s="8" t="s">
        <v>45</v>
      </c>
      <c r="C594" s="6" t="s">
        <v>166</v>
      </c>
      <c r="D594" s="6" t="s">
        <v>262</v>
      </c>
      <c r="E594" s="8" t="s">
        <v>263</v>
      </c>
      <c r="F594" s="30" t="n">
        <v>0</v>
      </c>
      <c r="G594" s="15" t="s">
        <v>917</v>
      </c>
    </row>
    <row r="595" customFormat="false" ht="15" hidden="false" customHeight="false" outlineLevel="0" collapsed="false">
      <c r="A595" s="8" t="s">
        <v>132</v>
      </c>
      <c r="B595" s="8" t="s">
        <v>45</v>
      </c>
      <c r="C595" s="6" t="s">
        <v>166</v>
      </c>
      <c r="D595" s="6" t="s">
        <v>267</v>
      </c>
      <c r="E595" s="8" t="s">
        <v>268</v>
      </c>
      <c r="F595" s="30" t="n">
        <v>0</v>
      </c>
      <c r="G595" s="15" t="s">
        <v>918</v>
      </c>
    </row>
    <row r="596" customFormat="false" ht="15" hidden="false" customHeight="false" outlineLevel="0" collapsed="false">
      <c r="A596" s="8" t="s">
        <v>132</v>
      </c>
      <c r="B596" s="8" t="s">
        <v>45</v>
      </c>
      <c r="C596" s="6" t="s">
        <v>166</v>
      </c>
      <c r="D596" s="6" t="s">
        <v>272</v>
      </c>
      <c r="E596" s="8" t="s">
        <v>273</v>
      </c>
      <c r="F596" s="30" t="n">
        <v>0</v>
      </c>
      <c r="G596" s="15" t="s">
        <v>891</v>
      </c>
    </row>
    <row r="597" customFormat="false" ht="15" hidden="false" customHeight="false" outlineLevel="0" collapsed="false">
      <c r="A597" s="8" t="s">
        <v>132</v>
      </c>
      <c r="B597" s="8" t="s">
        <v>45</v>
      </c>
      <c r="C597" s="6" t="s">
        <v>166</v>
      </c>
      <c r="D597" s="6" t="s">
        <v>276</v>
      </c>
      <c r="E597" s="8" t="s">
        <v>277</v>
      </c>
      <c r="F597" s="30" t="n">
        <v>0</v>
      </c>
      <c r="G597" s="15" t="s">
        <v>892</v>
      </c>
    </row>
    <row r="598" customFormat="false" ht="15" hidden="false" customHeight="false" outlineLevel="0" collapsed="false">
      <c r="A598" s="8" t="s">
        <v>132</v>
      </c>
      <c r="B598" s="8" t="s">
        <v>45</v>
      </c>
      <c r="C598" s="6" t="s">
        <v>169</v>
      </c>
      <c r="D598" s="6" t="s">
        <v>280</v>
      </c>
      <c r="E598" s="8" t="s">
        <v>281</v>
      </c>
      <c r="F598" s="30" t="n">
        <v>1</v>
      </c>
      <c r="G598" s="15" t="s">
        <v>919</v>
      </c>
    </row>
    <row r="599" customFormat="false" ht="15" hidden="false" customHeight="false" outlineLevel="0" collapsed="false">
      <c r="A599" s="8" t="s">
        <v>132</v>
      </c>
      <c r="B599" s="8" t="s">
        <v>45</v>
      </c>
      <c r="C599" s="6" t="s">
        <v>169</v>
      </c>
      <c r="D599" s="6" t="s">
        <v>285</v>
      </c>
      <c r="E599" s="8" t="s">
        <v>286</v>
      </c>
      <c r="F599" s="30" t="n">
        <v>0</v>
      </c>
      <c r="G599" s="15" t="s">
        <v>920</v>
      </c>
    </row>
    <row r="600" customFormat="false" ht="15" hidden="false" customHeight="false" outlineLevel="0" collapsed="false">
      <c r="A600" s="8" t="s">
        <v>132</v>
      </c>
      <c r="B600" s="8" t="s">
        <v>45</v>
      </c>
      <c r="C600" s="6" t="s">
        <v>169</v>
      </c>
      <c r="D600" s="6" t="s">
        <v>290</v>
      </c>
      <c r="E600" s="8" t="s">
        <v>291</v>
      </c>
      <c r="F600" s="30" t="n">
        <v>0</v>
      </c>
      <c r="G600" s="15" t="s">
        <v>921</v>
      </c>
    </row>
    <row r="601" customFormat="false" ht="15" hidden="false" customHeight="false" outlineLevel="0" collapsed="false">
      <c r="A601" s="8" t="s">
        <v>132</v>
      </c>
      <c r="B601" s="8" t="s">
        <v>45</v>
      </c>
      <c r="C601" s="6" t="s">
        <v>169</v>
      </c>
      <c r="D601" s="6" t="s">
        <v>295</v>
      </c>
      <c r="E601" s="8" t="s">
        <v>296</v>
      </c>
      <c r="F601" s="30" t="n">
        <v>1</v>
      </c>
      <c r="G601" s="15" t="s">
        <v>922</v>
      </c>
    </row>
    <row r="602" customFormat="false" ht="15" hidden="false" customHeight="false" outlineLevel="0" collapsed="false">
      <c r="A602" s="8" t="s">
        <v>132</v>
      </c>
      <c r="B602" s="8" t="s">
        <v>45</v>
      </c>
      <c r="C602" s="6" t="s">
        <v>169</v>
      </c>
      <c r="D602" s="6" t="s">
        <v>299</v>
      </c>
      <c r="E602" s="8" t="s">
        <v>300</v>
      </c>
      <c r="F602" s="30" t="n">
        <v>1</v>
      </c>
      <c r="G602" s="15" t="s">
        <v>923</v>
      </c>
    </row>
    <row r="603" customFormat="false" ht="15" hidden="false" customHeight="false" outlineLevel="0" collapsed="false">
      <c r="A603" s="8" t="s">
        <v>132</v>
      </c>
      <c r="B603" s="8" t="s">
        <v>45</v>
      </c>
      <c r="C603" s="6" t="s">
        <v>172</v>
      </c>
      <c r="D603" s="6" t="s">
        <v>303</v>
      </c>
      <c r="E603" s="8" t="s">
        <v>304</v>
      </c>
      <c r="F603" s="30" t="n">
        <v>1</v>
      </c>
      <c r="G603" s="15" t="s">
        <v>924</v>
      </c>
    </row>
    <row r="604" customFormat="false" ht="15" hidden="false" customHeight="false" outlineLevel="0" collapsed="false">
      <c r="A604" s="8" t="s">
        <v>132</v>
      </c>
      <c r="B604" s="8" t="s">
        <v>45</v>
      </c>
      <c r="C604" s="6" t="s">
        <v>172</v>
      </c>
      <c r="D604" s="6" t="s">
        <v>307</v>
      </c>
      <c r="E604" s="8" t="s">
        <v>308</v>
      </c>
      <c r="F604" s="30" t="n">
        <v>1</v>
      </c>
      <c r="G604" s="15" t="s">
        <v>925</v>
      </c>
    </row>
    <row r="605" customFormat="false" ht="15" hidden="false" customHeight="false" outlineLevel="0" collapsed="false">
      <c r="A605" s="8" t="s">
        <v>132</v>
      </c>
      <c r="B605" s="8" t="s">
        <v>45</v>
      </c>
      <c r="C605" s="6" t="s">
        <v>172</v>
      </c>
      <c r="D605" s="6" t="s">
        <v>311</v>
      </c>
      <c r="E605" s="8" t="s">
        <v>312</v>
      </c>
      <c r="F605" s="30" t="n">
        <v>2</v>
      </c>
      <c r="G605" s="15" t="s">
        <v>926</v>
      </c>
    </row>
    <row r="606" customFormat="false" ht="15" hidden="false" customHeight="false" outlineLevel="0" collapsed="false">
      <c r="A606" s="8" t="s">
        <v>132</v>
      </c>
      <c r="B606" s="8" t="s">
        <v>45</v>
      </c>
      <c r="C606" s="6" t="s">
        <v>172</v>
      </c>
      <c r="D606" s="6" t="s">
        <v>315</v>
      </c>
      <c r="E606" s="8" t="s">
        <v>316</v>
      </c>
      <c r="F606" s="30" t="n">
        <v>0</v>
      </c>
      <c r="G606" s="15" t="s">
        <v>927</v>
      </c>
    </row>
    <row r="607" customFormat="false" ht="15" hidden="false" customHeight="false" outlineLevel="0" collapsed="false">
      <c r="A607" s="8" t="s">
        <v>132</v>
      </c>
      <c r="B607" s="8" t="s">
        <v>45</v>
      </c>
      <c r="C607" s="6" t="s">
        <v>172</v>
      </c>
      <c r="D607" s="6" t="s">
        <v>318</v>
      </c>
      <c r="E607" s="8" t="s">
        <v>319</v>
      </c>
      <c r="F607" s="30" t="n">
        <v>1</v>
      </c>
      <c r="G607" s="15" t="s">
        <v>928</v>
      </c>
    </row>
    <row r="608" customFormat="false" ht="15" hidden="false" customHeight="false" outlineLevel="0" collapsed="false">
      <c r="A608" s="8" t="s">
        <v>132</v>
      </c>
      <c r="B608" s="8" t="s">
        <v>45</v>
      </c>
      <c r="C608" s="6" t="s">
        <v>175</v>
      </c>
      <c r="D608" s="6" t="s">
        <v>324</v>
      </c>
      <c r="E608" s="8" t="s">
        <v>325</v>
      </c>
      <c r="F608" s="30" t="n">
        <v>0</v>
      </c>
      <c r="G608" s="15" t="s">
        <v>929</v>
      </c>
    </row>
    <row r="609" customFormat="false" ht="15" hidden="false" customHeight="false" outlineLevel="0" collapsed="false">
      <c r="A609" s="8" t="s">
        <v>132</v>
      </c>
      <c r="B609" s="8" t="s">
        <v>45</v>
      </c>
      <c r="C609" s="6" t="s">
        <v>175</v>
      </c>
      <c r="D609" s="6" t="s">
        <v>329</v>
      </c>
      <c r="E609" s="8" t="s">
        <v>330</v>
      </c>
      <c r="F609" s="30" t="n">
        <v>0</v>
      </c>
      <c r="G609" s="15" t="s">
        <v>930</v>
      </c>
    </row>
    <row r="610" customFormat="false" ht="28.35" hidden="false" customHeight="false" outlineLevel="0" collapsed="false">
      <c r="A610" s="8" t="s">
        <v>132</v>
      </c>
      <c r="B610" s="8" t="s">
        <v>45</v>
      </c>
      <c r="C610" s="6" t="s">
        <v>175</v>
      </c>
      <c r="D610" s="6" t="s">
        <v>333</v>
      </c>
      <c r="E610" s="8" t="s">
        <v>334</v>
      </c>
      <c r="F610" s="30" t="n">
        <v>1</v>
      </c>
      <c r="G610" s="15" t="s">
        <v>931</v>
      </c>
    </row>
    <row r="611" customFormat="false" ht="15" hidden="false" customHeight="false" outlineLevel="0" collapsed="false">
      <c r="A611" s="18" t="s">
        <v>135</v>
      </c>
      <c r="B611" s="8" t="s">
        <v>136</v>
      </c>
      <c r="C611" s="6" t="s">
        <v>163</v>
      </c>
      <c r="D611" s="6" t="s">
        <v>196</v>
      </c>
      <c r="E611" s="8" t="s">
        <v>197</v>
      </c>
      <c r="F611" s="30" t="n">
        <v>2</v>
      </c>
      <c r="G611" s="15" t="s">
        <v>932</v>
      </c>
    </row>
    <row r="612" customFormat="false" ht="28.35" hidden="false" customHeight="false" outlineLevel="0" collapsed="false">
      <c r="A612" s="18" t="s">
        <v>135</v>
      </c>
      <c r="B612" s="8" t="s">
        <v>136</v>
      </c>
      <c r="C612" s="6" t="s">
        <v>163</v>
      </c>
      <c r="D612" s="6" t="s">
        <v>201</v>
      </c>
      <c r="E612" s="8" t="s">
        <v>202</v>
      </c>
      <c r="F612" s="30" t="n">
        <v>2</v>
      </c>
      <c r="G612" s="15" t="s">
        <v>933</v>
      </c>
    </row>
    <row r="613" customFormat="false" ht="15" hidden="false" customHeight="false" outlineLevel="0" collapsed="false">
      <c r="A613" s="18" t="s">
        <v>135</v>
      </c>
      <c r="B613" s="8" t="s">
        <v>136</v>
      </c>
      <c r="C613" s="6" t="s">
        <v>163</v>
      </c>
      <c r="D613" s="6" t="s">
        <v>207</v>
      </c>
      <c r="E613" s="8" t="s">
        <v>208</v>
      </c>
      <c r="F613" s="30" t="n">
        <v>2</v>
      </c>
      <c r="G613" s="15" t="s">
        <v>934</v>
      </c>
    </row>
    <row r="614" customFormat="false" ht="28.35" hidden="false" customHeight="false" outlineLevel="0" collapsed="false">
      <c r="A614" s="18" t="s">
        <v>135</v>
      </c>
      <c r="B614" s="8" t="s">
        <v>136</v>
      </c>
      <c r="C614" s="6" t="s">
        <v>163</v>
      </c>
      <c r="D614" s="6" t="s">
        <v>213</v>
      </c>
      <c r="E614" s="8" t="s">
        <v>214</v>
      </c>
      <c r="F614" s="30" t="n">
        <v>2</v>
      </c>
      <c r="G614" s="15" t="s">
        <v>935</v>
      </c>
    </row>
    <row r="615" customFormat="false" ht="15" hidden="false" customHeight="false" outlineLevel="0" collapsed="false">
      <c r="A615" s="18" t="s">
        <v>135</v>
      </c>
      <c r="B615" s="8" t="s">
        <v>136</v>
      </c>
      <c r="C615" s="6" t="s">
        <v>163</v>
      </c>
      <c r="D615" s="6" t="s">
        <v>219</v>
      </c>
      <c r="E615" s="8" t="s">
        <v>220</v>
      </c>
      <c r="F615" s="30" t="n">
        <v>2</v>
      </c>
      <c r="G615" s="15" t="s">
        <v>936</v>
      </c>
    </row>
    <row r="616" customFormat="false" ht="28.35" hidden="false" customHeight="false" outlineLevel="0" collapsed="false">
      <c r="A616" s="18" t="s">
        <v>135</v>
      </c>
      <c r="B616" s="8" t="s">
        <v>136</v>
      </c>
      <c r="C616" s="6" t="s">
        <v>163</v>
      </c>
      <c r="D616" s="6" t="s">
        <v>225</v>
      </c>
      <c r="E616" s="8" t="s">
        <v>226</v>
      </c>
      <c r="F616" s="30" t="n">
        <v>2</v>
      </c>
      <c r="G616" s="15" t="s">
        <v>937</v>
      </c>
    </row>
    <row r="617" customFormat="false" ht="28.35" hidden="false" customHeight="false" outlineLevel="0" collapsed="false">
      <c r="A617" s="18" t="s">
        <v>135</v>
      </c>
      <c r="B617" s="8" t="s">
        <v>136</v>
      </c>
      <c r="C617" s="6" t="s">
        <v>163</v>
      </c>
      <c r="D617" s="6" t="s">
        <v>230</v>
      </c>
      <c r="E617" s="8" t="s">
        <v>231</v>
      </c>
      <c r="F617" s="30" t="n">
        <v>2</v>
      </c>
      <c r="G617" s="15" t="s">
        <v>938</v>
      </c>
    </row>
    <row r="618" customFormat="false" ht="15" hidden="false" customHeight="false" outlineLevel="0" collapsed="false">
      <c r="A618" s="18" t="s">
        <v>135</v>
      </c>
      <c r="B618" s="8" t="s">
        <v>136</v>
      </c>
      <c r="C618" s="6" t="s">
        <v>163</v>
      </c>
      <c r="D618" s="6" t="s">
        <v>236</v>
      </c>
      <c r="E618" s="8" t="s">
        <v>237</v>
      </c>
      <c r="F618" s="30" t="n">
        <v>2</v>
      </c>
      <c r="G618" s="15" t="s">
        <v>939</v>
      </c>
    </row>
    <row r="619" customFormat="false" ht="28.35" hidden="false" customHeight="false" outlineLevel="0" collapsed="false">
      <c r="A619" s="18" t="s">
        <v>135</v>
      </c>
      <c r="B619" s="8" t="s">
        <v>136</v>
      </c>
      <c r="C619" s="6" t="s">
        <v>166</v>
      </c>
      <c r="D619" s="6" t="s">
        <v>242</v>
      </c>
      <c r="E619" s="8" t="s">
        <v>243</v>
      </c>
      <c r="F619" s="30" t="n">
        <v>2</v>
      </c>
      <c r="G619" s="15" t="s">
        <v>940</v>
      </c>
    </row>
    <row r="620" customFormat="false" ht="28.35" hidden="false" customHeight="false" outlineLevel="0" collapsed="false">
      <c r="A620" s="18" t="s">
        <v>135</v>
      </c>
      <c r="B620" s="8" t="s">
        <v>136</v>
      </c>
      <c r="C620" s="6" t="s">
        <v>166</v>
      </c>
      <c r="D620" s="6" t="s">
        <v>247</v>
      </c>
      <c r="E620" s="8" t="s">
        <v>248</v>
      </c>
      <c r="F620" s="30" t="n">
        <v>2</v>
      </c>
      <c r="G620" s="15" t="s">
        <v>941</v>
      </c>
    </row>
    <row r="621" customFormat="false" ht="28.35" hidden="false" customHeight="false" outlineLevel="0" collapsed="false">
      <c r="A621" s="18" t="s">
        <v>135</v>
      </c>
      <c r="B621" s="8" t="s">
        <v>136</v>
      </c>
      <c r="C621" s="6" t="s">
        <v>166</v>
      </c>
      <c r="D621" s="6" t="s">
        <v>252</v>
      </c>
      <c r="E621" s="8" t="s">
        <v>253</v>
      </c>
      <c r="F621" s="30" t="n">
        <v>2</v>
      </c>
      <c r="G621" s="15" t="s">
        <v>942</v>
      </c>
    </row>
    <row r="622" customFormat="false" ht="28.35" hidden="false" customHeight="false" outlineLevel="0" collapsed="false">
      <c r="A622" s="18" t="s">
        <v>135</v>
      </c>
      <c r="B622" s="8" t="s">
        <v>136</v>
      </c>
      <c r="C622" s="6" t="s">
        <v>166</v>
      </c>
      <c r="D622" s="6" t="s">
        <v>257</v>
      </c>
      <c r="E622" s="8" t="s">
        <v>258</v>
      </c>
      <c r="F622" s="30" t="n">
        <v>2</v>
      </c>
      <c r="G622" s="15" t="s">
        <v>943</v>
      </c>
    </row>
    <row r="623" customFormat="false" ht="28.35" hidden="false" customHeight="false" outlineLevel="0" collapsed="false">
      <c r="A623" s="18" t="s">
        <v>135</v>
      </c>
      <c r="B623" s="8" t="s">
        <v>136</v>
      </c>
      <c r="C623" s="6" t="s">
        <v>166</v>
      </c>
      <c r="D623" s="6" t="s">
        <v>262</v>
      </c>
      <c r="E623" s="8" t="s">
        <v>263</v>
      </c>
      <c r="F623" s="30" t="n">
        <v>2</v>
      </c>
      <c r="G623" s="15" t="s">
        <v>944</v>
      </c>
    </row>
    <row r="624" customFormat="false" ht="28.35" hidden="false" customHeight="false" outlineLevel="0" collapsed="false">
      <c r="A624" s="18" t="s">
        <v>135</v>
      </c>
      <c r="B624" s="8" t="s">
        <v>136</v>
      </c>
      <c r="C624" s="6" t="s">
        <v>166</v>
      </c>
      <c r="D624" s="6" t="s">
        <v>267</v>
      </c>
      <c r="E624" s="8" t="s">
        <v>268</v>
      </c>
      <c r="F624" s="30" t="n">
        <v>2</v>
      </c>
      <c r="G624" s="15" t="s">
        <v>945</v>
      </c>
    </row>
    <row r="625" customFormat="false" ht="28.35" hidden="false" customHeight="false" outlineLevel="0" collapsed="false">
      <c r="A625" s="18" t="s">
        <v>135</v>
      </c>
      <c r="B625" s="8" t="s">
        <v>136</v>
      </c>
      <c r="C625" s="6" t="s">
        <v>166</v>
      </c>
      <c r="D625" s="6" t="s">
        <v>272</v>
      </c>
      <c r="E625" s="8" t="s">
        <v>273</v>
      </c>
      <c r="F625" s="30" t="n">
        <v>2</v>
      </c>
      <c r="G625" s="15" t="s">
        <v>946</v>
      </c>
    </row>
    <row r="626" customFormat="false" ht="15" hidden="false" customHeight="false" outlineLevel="0" collapsed="false">
      <c r="A626" s="18" t="s">
        <v>135</v>
      </c>
      <c r="B626" s="8" t="s">
        <v>136</v>
      </c>
      <c r="C626" s="6" t="s">
        <v>166</v>
      </c>
      <c r="D626" s="6" t="s">
        <v>276</v>
      </c>
      <c r="E626" s="8" t="s">
        <v>277</v>
      </c>
      <c r="F626" s="30" t="n">
        <v>2</v>
      </c>
      <c r="G626" s="15" t="s">
        <v>947</v>
      </c>
    </row>
    <row r="627" customFormat="false" ht="15" hidden="false" customHeight="false" outlineLevel="0" collapsed="false">
      <c r="A627" s="18" t="s">
        <v>135</v>
      </c>
      <c r="B627" s="8" t="s">
        <v>136</v>
      </c>
      <c r="C627" s="6" t="s">
        <v>169</v>
      </c>
      <c r="D627" s="6" t="s">
        <v>280</v>
      </c>
      <c r="E627" s="8" t="s">
        <v>281</v>
      </c>
      <c r="F627" s="30" t="n">
        <v>2</v>
      </c>
      <c r="G627" s="15" t="s">
        <v>948</v>
      </c>
    </row>
    <row r="628" customFormat="false" ht="28.35" hidden="false" customHeight="false" outlineLevel="0" collapsed="false">
      <c r="A628" s="18" t="s">
        <v>135</v>
      </c>
      <c r="B628" s="8" t="s">
        <v>136</v>
      </c>
      <c r="C628" s="6" t="s">
        <v>169</v>
      </c>
      <c r="D628" s="6" t="s">
        <v>285</v>
      </c>
      <c r="E628" s="8" t="s">
        <v>286</v>
      </c>
      <c r="F628" s="30" t="n">
        <v>2</v>
      </c>
      <c r="G628" s="15" t="s">
        <v>949</v>
      </c>
    </row>
    <row r="629" customFormat="false" ht="28.35" hidden="false" customHeight="false" outlineLevel="0" collapsed="false">
      <c r="A629" s="18" t="s">
        <v>135</v>
      </c>
      <c r="B629" s="8" t="s">
        <v>136</v>
      </c>
      <c r="C629" s="6" t="s">
        <v>169</v>
      </c>
      <c r="D629" s="6" t="s">
        <v>290</v>
      </c>
      <c r="E629" s="8" t="s">
        <v>291</v>
      </c>
      <c r="F629" s="30" t="n">
        <v>2</v>
      </c>
      <c r="G629" s="15" t="s">
        <v>950</v>
      </c>
    </row>
    <row r="630" customFormat="false" ht="28.35" hidden="false" customHeight="false" outlineLevel="0" collapsed="false">
      <c r="A630" s="18" t="s">
        <v>135</v>
      </c>
      <c r="B630" s="8" t="s">
        <v>136</v>
      </c>
      <c r="C630" s="6" t="s">
        <v>169</v>
      </c>
      <c r="D630" s="6" t="s">
        <v>295</v>
      </c>
      <c r="E630" s="8" t="s">
        <v>296</v>
      </c>
      <c r="F630" s="30" t="n">
        <v>2</v>
      </c>
      <c r="G630" s="15" t="s">
        <v>951</v>
      </c>
    </row>
    <row r="631" customFormat="false" ht="28.35" hidden="false" customHeight="false" outlineLevel="0" collapsed="false">
      <c r="A631" s="18" t="s">
        <v>135</v>
      </c>
      <c r="B631" s="8" t="s">
        <v>136</v>
      </c>
      <c r="C631" s="6" t="s">
        <v>169</v>
      </c>
      <c r="D631" s="6" t="s">
        <v>299</v>
      </c>
      <c r="E631" s="8" t="s">
        <v>300</v>
      </c>
      <c r="F631" s="30" t="n">
        <v>2</v>
      </c>
      <c r="G631" s="15" t="s">
        <v>952</v>
      </c>
    </row>
    <row r="632" customFormat="false" ht="28.35" hidden="false" customHeight="false" outlineLevel="0" collapsed="false">
      <c r="A632" s="18" t="s">
        <v>135</v>
      </c>
      <c r="B632" s="8" t="s">
        <v>136</v>
      </c>
      <c r="C632" s="6" t="s">
        <v>172</v>
      </c>
      <c r="D632" s="6" t="s">
        <v>303</v>
      </c>
      <c r="E632" s="8" t="s">
        <v>304</v>
      </c>
      <c r="F632" s="30" t="n">
        <v>2</v>
      </c>
      <c r="G632" s="15" t="s">
        <v>953</v>
      </c>
    </row>
    <row r="633" customFormat="false" ht="15" hidden="false" customHeight="false" outlineLevel="0" collapsed="false">
      <c r="A633" s="18" t="s">
        <v>135</v>
      </c>
      <c r="B633" s="8" t="s">
        <v>136</v>
      </c>
      <c r="C633" s="6" t="s">
        <v>172</v>
      </c>
      <c r="D633" s="6" t="s">
        <v>307</v>
      </c>
      <c r="E633" s="8" t="s">
        <v>308</v>
      </c>
      <c r="F633" s="30" t="n">
        <v>1</v>
      </c>
      <c r="G633" s="15" t="s">
        <v>954</v>
      </c>
    </row>
    <row r="634" customFormat="false" ht="28.35" hidden="false" customHeight="false" outlineLevel="0" collapsed="false">
      <c r="A634" s="18" t="s">
        <v>135</v>
      </c>
      <c r="B634" s="8" t="s">
        <v>136</v>
      </c>
      <c r="C634" s="6" t="s">
        <v>172</v>
      </c>
      <c r="D634" s="6" t="s">
        <v>311</v>
      </c>
      <c r="E634" s="8" t="s">
        <v>312</v>
      </c>
      <c r="F634" s="30" t="n">
        <v>2</v>
      </c>
      <c r="G634" s="15" t="s">
        <v>955</v>
      </c>
    </row>
    <row r="635" customFormat="false" ht="15" hidden="false" customHeight="false" outlineLevel="0" collapsed="false">
      <c r="A635" s="18" t="s">
        <v>135</v>
      </c>
      <c r="B635" s="8" t="s">
        <v>136</v>
      </c>
      <c r="C635" s="6" t="s">
        <v>172</v>
      </c>
      <c r="D635" s="6" t="s">
        <v>315</v>
      </c>
      <c r="E635" s="8" t="s">
        <v>316</v>
      </c>
      <c r="F635" s="30" t="n">
        <v>2</v>
      </c>
      <c r="G635" s="15" t="s">
        <v>956</v>
      </c>
    </row>
    <row r="636" customFormat="false" ht="15" hidden="false" customHeight="false" outlineLevel="0" collapsed="false">
      <c r="A636" s="18" t="s">
        <v>135</v>
      </c>
      <c r="B636" s="8" t="s">
        <v>136</v>
      </c>
      <c r="C636" s="6" t="s">
        <v>172</v>
      </c>
      <c r="D636" s="6" t="s">
        <v>318</v>
      </c>
      <c r="E636" s="8" t="s">
        <v>319</v>
      </c>
      <c r="F636" s="30" t="n">
        <v>2</v>
      </c>
      <c r="G636" s="15" t="s">
        <v>957</v>
      </c>
    </row>
    <row r="637" customFormat="false" ht="28.35" hidden="false" customHeight="false" outlineLevel="0" collapsed="false">
      <c r="A637" s="18" t="s">
        <v>135</v>
      </c>
      <c r="B637" s="8" t="s">
        <v>136</v>
      </c>
      <c r="C637" s="6" t="s">
        <v>175</v>
      </c>
      <c r="D637" s="6" t="s">
        <v>324</v>
      </c>
      <c r="E637" s="8" t="s">
        <v>325</v>
      </c>
      <c r="F637" s="30" t="n">
        <v>1</v>
      </c>
      <c r="G637" s="15" t="s">
        <v>958</v>
      </c>
    </row>
    <row r="638" customFormat="false" ht="28.35" hidden="false" customHeight="false" outlineLevel="0" collapsed="false">
      <c r="A638" s="18" t="s">
        <v>135</v>
      </c>
      <c r="B638" s="8" t="s">
        <v>136</v>
      </c>
      <c r="C638" s="6" t="s">
        <v>175</v>
      </c>
      <c r="D638" s="6" t="s">
        <v>329</v>
      </c>
      <c r="E638" s="8" t="s">
        <v>330</v>
      </c>
      <c r="F638" s="30" t="n">
        <v>2</v>
      </c>
      <c r="G638" s="15" t="s">
        <v>959</v>
      </c>
    </row>
    <row r="639" customFormat="false" ht="28.35" hidden="false" customHeight="false" outlineLevel="0" collapsed="false">
      <c r="A639" s="18" t="s">
        <v>135</v>
      </c>
      <c r="B639" s="8" t="s">
        <v>136</v>
      </c>
      <c r="C639" s="6" t="s">
        <v>175</v>
      </c>
      <c r="D639" s="6" t="s">
        <v>333</v>
      </c>
      <c r="E639" s="8" t="s">
        <v>334</v>
      </c>
      <c r="F639" s="30" t="n">
        <v>1</v>
      </c>
      <c r="G639" s="15" t="s">
        <v>960</v>
      </c>
    </row>
    <row r="640" customFormat="false" ht="15" hidden="false" customHeight="false" outlineLevel="0" collapsed="false">
      <c r="A640" s="18" t="s">
        <v>142</v>
      </c>
      <c r="B640" s="8" t="s">
        <v>136</v>
      </c>
      <c r="C640" s="6" t="s">
        <v>163</v>
      </c>
      <c r="D640" s="6" t="s">
        <v>196</v>
      </c>
      <c r="E640" s="8" t="s">
        <v>197</v>
      </c>
      <c r="F640" s="30" t="n">
        <v>2</v>
      </c>
      <c r="G640" s="15" t="s">
        <v>961</v>
      </c>
    </row>
    <row r="641" customFormat="false" ht="28.35" hidden="false" customHeight="false" outlineLevel="0" collapsed="false">
      <c r="A641" s="18" t="s">
        <v>142</v>
      </c>
      <c r="B641" s="8" t="s">
        <v>136</v>
      </c>
      <c r="C641" s="6" t="s">
        <v>163</v>
      </c>
      <c r="D641" s="6" t="s">
        <v>201</v>
      </c>
      <c r="E641" s="8" t="s">
        <v>202</v>
      </c>
      <c r="F641" s="30" t="n">
        <v>1</v>
      </c>
      <c r="G641" s="15" t="s">
        <v>962</v>
      </c>
    </row>
    <row r="642" customFormat="false" ht="28.35" hidden="false" customHeight="false" outlineLevel="0" collapsed="false">
      <c r="A642" s="18" t="s">
        <v>142</v>
      </c>
      <c r="B642" s="8" t="s">
        <v>136</v>
      </c>
      <c r="C642" s="6" t="s">
        <v>163</v>
      </c>
      <c r="D642" s="6" t="s">
        <v>207</v>
      </c>
      <c r="E642" s="8" t="s">
        <v>208</v>
      </c>
      <c r="F642" s="30" t="n">
        <v>2</v>
      </c>
      <c r="G642" s="15" t="s">
        <v>963</v>
      </c>
    </row>
    <row r="643" customFormat="false" ht="28.35" hidden="false" customHeight="false" outlineLevel="0" collapsed="false">
      <c r="A643" s="18" t="s">
        <v>142</v>
      </c>
      <c r="B643" s="8" t="s">
        <v>136</v>
      </c>
      <c r="C643" s="6" t="s">
        <v>163</v>
      </c>
      <c r="D643" s="6" t="s">
        <v>213</v>
      </c>
      <c r="E643" s="8" t="s">
        <v>214</v>
      </c>
      <c r="F643" s="30" t="n">
        <v>1</v>
      </c>
      <c r="G643" s="15" t="s">
        <v>964</v>
      </c>
    </row>
    <row r="644" customFormat="false" ht="28.35" hidden="false" customHeight="false" outlineLevel="0" collapsed="false">
      <c r="A644" s="18" t="s">
        <v>142</v>
      </c>
      <c r="B644" s="8" t="s">
        <v>136</v>
      </c>
      <c r="C644" s="6" t="s">
        <v>163</v>
      </c>
      <c r="D644" s="6" t="s">
        <v>219</v>
      </c>
      <c r="E644" s="8" t="s">
        <v>220</v>
      </c>
      <c r="F644" s="30" t="n">
        <v>1</v>
      </c>
      <c r="G644" s="15" t="s">
        <v>965</v>
      </c>
    </row>
    <row r="645" customFormat="false" ht="28.35" hidden="false" customHeight="false" outlineLevel="0" collapsed="false">
      <c r="A645" s="18" t="s">
        <v>142</v>
      </c>
      <c r="B645" s="8" t="s">
        <v>136</v>
      </c>
      <c r="C645" s="6" t="s">
        <v>163</v>
      </c>
      <c r="D645" s="6" t="s">
        <v>225</v>
      </c>
      <c r="E645" s="8" t="s">
        <v>226</v>
      </c>
      <c r="F645" s="30" t="n">
        <v>2</v>
      </c>
      <c r="G645" s="15" t="s">
        <v>966</v>
      </c>
    </row>
    <row r="646" customFormat="false" ht="28.35" hidden="false" customHeight="false" outlineLevel="0" collapsed="false">
      <c r="A646" s="18" t="s">
        <v>142</v>
      </c>
      <c r="B646" s="8" t="s">
        <v>136</v>
      </c>
      <c r="C646" s="6" t="s">
        <v>163</v>
      </c>
      <c r="D646" s="6" t="s">
        <v>230</v>
      </c>
      <c r="E646" s="8" t="s">
        <v>231</v>
      </c>
      <c r="F646" s="30" t="n">
        <v>2</v>
      </c>
      <c r="G646" s="15" t="s">
        <v>967</v>
      </c>
    </row>
    <row r="647" customFormat="false" ht="28.35" hidden="false" customHeight="false" outlineLevel="0" collapsed="false">
      <c r="A647" s="18" t="s">
        <v>142</v>
      </c>
      <c r="B647" s="8" t="s">
        <v>136</v>
      </c>
      <c r="C647" s="6" t="s">
        <v>163</v>
      </c>
      <c r="D647" s="6" t="s">
        <v>236</v>
      </c>
      <c r="E647" s="8" t="s">
        <v>237</v>
      </c>
      <c r="F647" s="30" t="n">
        <v>1</v>
      </c>
      <c r="G647" s="15" t="s">
        <v>968</v>
      </c>
    </row>
    <row r="648" customFormat="false" ht="28.35" hidden="false" customHeight="false" outlineLevel="0" collapsed="false">
      <c r="A648" s="18" t="s">
        <v>142</v>
      </c>
      <c r="B648" s="8" t="s">
        <v>136</v>
      </c>
      <c r="C648" s="6" t="s">
        <v>166</v>
      </c>
      <c r="D648" s="6" t="s">
        <v>242</v>
      </c>
      <c r="E648" s="8" t="s">
        <v>243</v>
      </c>
      <c r="F648" s="30" t="n">
        <v>1</v>
      </c>
      <c r="G648" s="15" t="s">
        <v>969</v>
      </c>
    </row>
    <row r="649" customFormat="false" ht="15" hidden="false" customHeight="false" outlineLevel="0" collapsed="false">
      <c r="A649" s="18" t="s">
        <v>142</v>
      </c>
      <c r="B649" s="8" t="s">
        <v>136</v>
      </c>
      <c r="C649" s="6" t="s">
        <v>166</v>
      </c>
      <c r="D649" s="6" t="s">
        <v>247</v>
      </c>
      <c r="E649" s="8" t="s">
        <v>248</v>
      </c>
      <c r="F649" s="30" t="n">
        <v>1</v>
      </c>
      <c r="G649" s="15" t="s">
        <v>970</v>
      </c>
    </row>
    <row r="650" customFormat="false" ht="28.35" hidden="false" customHeight="false" outlineLevel="0" collapsed="false">
      <c r="A650" s="18" t="s">
        <v>142</v>
      </c>
      <c r="B650" s="8" t="s">
        <v>136</v>
      </c>
      <c r="C650" s="6" t="s">
        <v>166</v>
      </c>
      <c r="D650" s="6" t="s">
        <v>252</v>
      </c>
      <c r="E650" s="8" t="s">
        <v>253</v>
      </c>
      <c r="F650" s="30" t="n">
        <v>1</v>
      </c>
      <c r="G650" s="15" t="s">
        <v>971</v>
      </c>
    </row>
    <row r="651" customFormat="false" ht="28.35" hidden="false" customHeight="false" outlineLevel="0" collapsed="false">
      <c r="A651" s="18" t="s">
        <v>142</v>
      </c>
      <c r="B651" s="8" t="s">
        <v>136</v>
      </c>
      <c r="C651" s="6" t="s">
        <v>166</v>
      </c>
      <c r="D651" s="6" t="s">
        <v>257</v>
      </c>
      <c r="E651" s="8" t="s">
        <v>258</v>
      </c>
      <c r="F651" s="30" t="n">
        <v>1</v>
      </c>
      <c r="G651" s="15" t="s">
        <v>972</v>
      </c>
    </row>
    <row r="652" customFormat="false" ht="28.35" hidden="false" customHeight="false" outlineLevel="0" collapsed="false">
      <c r="A652" s="18" t="s">
        <v>142</v>
      </c>
      <c r="B652" s="8" t="s">
        <v>136</v>
      </c>
      <c r="C652" s="6" t="s">
        <v>166</v>
      </c>
      <c r="D652" s="6" t="s">
        <v>262</v>
      </c>
      <c r="E652" s="8" t="s">
        <v>263</v>
      </c>
      <c r="F652" s="30" t="n">
        <v>1</v>
      </c>
      <c r="G652" s="15" t="s">
        <v>973</v>
      </c>
    </row>
    <row r="653" customFormat="false" ht="28.35" hidden="false" customHeight="false" outlineLevel="0" collapsed="false">
      <c r="A653" s="18" t="s">
        <v>142</v>
      </c>
      <c r="B653" s="8" t="s">
        <v>136</v>
      </c>
      <c r="C653" s="6" t="s">
        <v>166</v>
      </c>
      <c r="D653" s="6" t="s">
        <v>267</v>
      </c>
      <c r="E653" s="8" t="s">
        <v>268</v>
      </c>
      <c r="F653" s="30" t="n">
        <v>2</v>
      </c>
      <c r="G653" s="15" t="s">
        <v>974</v>
      </c>
    </row>
    <row r="654" customFormat="false" ht="28.35" hidden="false" customHeight="false" outlineLevel="0" collapsed="false">
      <c r="A654" s="18" t="s">
        <v>142</v>
      </c>
      <c r="B654" s="8" t="s">
        <v>136</v>
      </c>
      <c r="C654" s="6" t="s">
        <v>166</v>
      </c>
      <c r="D654" s="6" t="s">
        <v>272</v>
      </c>
      <c r="E654" s="8" t="s">
        <v>273</v>
      </c>
      <c r="F654" s="30" t="n">
        <v>1</v>
      </c>
      <c r="G654" s="15" t="s">
        <v>975</v>
      </c>
    </row>
    <row r="655" customFormat="false" ht="28.35" hidden="false" customHeight="false" outlineLevel="0" collapsed="false">
      <c r="A655" s="18" t="s">
        <v>142</v>
      </c>
      <c r="B655" s="8" t="s">
        <v>136</v>
      </c>
      <c r="C655" s="6" t="s">
        <v>166</v>
      </c>
      <c r="D655" s="6" t="s">
        <v>276</v>
      </c>
      <c r="E655" s="8" t="s">
        <v>277</v>
      </c>
      <c r="F655" s="30" t="n">
        <v>2</v>
      </c>
      <c r="G655" s="15" t="s">
        <v>976</v>
      </c>
    </row>
    <row r="656" customFormat="false" ht="28.35" hidden="false" customHeight="false" outlineLevel="0" collapsed="false">
      <c r="A656" s="18" t="s">
        <v>142</v>
      </c>
      <c r="B656" s="8" t="s">
        <v>136</v>
      </c>
      <c r="C656" s="6" t="s">
        <v>169</v>
      </c>
      <c r="D656" s="6" t="s">
        <v>280</v>
      </c>
      <c r="E656" s="8" t="s">
        <v>281</v>
      </c>
      <c r="F656" s="30" t="n">
        <v>1</v>
      </c>
      <c r="G656" s="15" t="s">
        <v>977</v>
      </c>
    </row>
    <row r="657" customFormat="false" ht="28.35" hidden="false" customHeight="false" outlineLevel="0" collapsed="false">
      <c r="A657" s="18" t="s">
        <v>142</v>
      </c>
      <c r="B657" s="8" t="s">
        <v>136</v>
      </c>
      <c r="C657" s="6" t="s">
        <v>169</v>
      </c>
      <c r="D657" s="6" t="s">
        <v>285</v>
      </c>
      <c r="E657" s="8" t="s">
        <v>286</v>
      </c>
      <c r="F657" s="30" t="n">
        <v>1</v>
      </c>
      <c r="G657" s="15" t="s">
        <v>978</v>
      </c>
    </row>
    <row r="658" customFormat="false" ht="28.35" hidden="false" customHeight="false" outlineLevel="0" collapsed="false">
      <c r="A658" s="18" t="s">
        <v>142</v>
      </c>
      <c r="B658" s="8" t="s">
        <v>136</v>
      </c>
      <c r="C658" s="6" t="s">
        <v>169</v>
      </c>
      <c r="D658" s="6" t="s">
        <v>290</v>
      </c>
      <c r="E658" s="8" t="s">
        <v>291</v>
      </c>
      <c r="F658" s="30" t="n">
        <v>1</v>
      </c>
      <c r="G658" s="15" t="s">
        <v>979</v>
      </c>
    </row>
    <row r="659" customFormat="false" ht="28.35" hidden="false" customHeight="false" outlineLevel="0" collapsed="false">
      <c r="A659" s="18" t="s">
        <v>142</v>
      </c>
      <c r="B659" s="8" t="s">
        <v>136</v>
      </c>
      <c r="C659" s="6" t="s">
        <v>169</v>
      </c>
      <c r="D659" s="6" t="s">
        <v>295</v>
      </c>
      <c r="E659" s="8" t="s">
        <v>296</v>
      </c>
      <c r="F659" s="30" t="n">
        <v>1</v>
      </c>
      <c r="G659" s="15" t="s">
        <v>980</v>
      </c>
    </row>
    <row r="660" customFormat="false" ht="28.35" hidden="false" customHeight="false" outlineLevel="0" collapsed="false">
      <c r="A660" s="18" t="s">
        <v>142</v>
      </c>
      <c r="B660" s="8" t="s">
        <v>136</v>
      </c>
      <c r="C660" s="6" t="s">
        <v>169</v>
      </c>
      <c r="D660" s="6" t="s">
        <v>299</v>
      </c>
      <c r="E660" s="8" t="s">
        <v>300</v>
      </c>
      <c r="F660" s="30" t="n">
        <v>0</v>
      </c>
      <c r="G660" s="15" t="s">
        <v>981</v>
      </c>
    </row>
    <row r="661" customFormat="false" ht="28.35" hidden="false" customHeight="false" outlineLevel="0" collapsed="false">
      <c r="A661" s="18" t="s">
        <v>142</v>
      </c>
      <c r="B661" s="8" t="s">
        <v>136</v>
      </c>
      <c r="C661" s="6" t="s">
        <v>172</v>
      </c>
      <c r="D661" s="6" t="s">
        <v>303</v>
      </c>
      <c r="E661" s="8" t="s">
        <v>304</v>
      </c>
      <c r="F661" s="30" t="n">
        <v>2</v>
      </c>
      <c r="G661" s="15" t="s">
        <v>982</v>
      </c>
    </row>
    <row r="662" customFormat="false" ht="15" hidden="false" customHeight="false" outlineLevel="0" collapsed="false">
      <c r="A662" s="18" t="s">
        <v>142</v>
      </c>
      <c r="B662" s="8" t="s">
        <v>136</v>
      </c>
      <c r="C662" s="6" t="s">
        <v>172</v>
      </c>
      <c r="D662" s="6" t="s">
        <v>307</v>
      </c>
      <c r="E662" s="8" t="s">
        <v>308</v>
      </c>
      <c r="F662" s="30" t="n">
        <v>1</v>
      </c>
      <c r="G662" s="15" t="s">
        <v>983</v>
      </c>
    </row>
    <row r="663" customFormat="false" ht="28.35" hidden="false" customHeight="false" outlineLevel="0" collapsed="false">
      <c r="A663" s="18" t="s">
        <v>142</v>
      </c>
      <c r="B663" s="8" t="s">
        <v>136</v>
      </c>
      <c r="C663" s="6" t="s">
        <v>172</v>
      </c>
      <c r="D663" s="6" t="s">
        <v>311</v>
      </c>
      <c r="E663" s="8" t="s">
        <v>312</v>
      </c>
      <c r="F663" s="30" t="n">
        <v>2</v>
      </c>
      <c r="G663" s="15" t="s">
        <v>984</v>
      </c>
    </row>
    <row r="664" customFormat="false" ht="28.35" hidden="false" customHeight="false" outlineLevel="0" collapsed="false">
      <c r="A664" s="18" t="s">
        <v>142</v>
      </c>
      <c r="B664" s="8" t="s">
        <v>136</v>
      </c>
      <c r="C664" s="6" t="s">
        <v>172</v>
      </c>
      <c r="D664" s="6" t="s">
        <v>315</v>
      </c>
      <c r="E664" s="8" t="s">
        <v>316</v>
      </c>
      <c r="F664" s="30" t="n">
        <v>0</v>
      </c>
      <c r="G664" s="15" t="s">
        <v>985</v>
      </c>
    </row>
    <row r="665" customFormat="false" ht="28.35" hidden="false" customHeight="false" outlineLevel="0" collapsed="false">
      <c r="A665" s="18" t="s">
        <v>142</v>
      </c>
      <c r="B665" s="8" t="s">
        <v>136</v>
      </c>
      <c r="C665" s="6" t="s">
        <v>172</v>
      </c>
      <c r="D665" s="6" t="s">
        <v>318</v>
      </c>
      <c r="E665" s="8" t="s">
        <v>319</v>
      </c>
      <c r="F665" s="30" t="n">
        <v>2</v>
      </c>
      <c r="G665" s="15" t="s">
        <v>986</v>
      </c>
    </row>
    <row r="666" customFormat="false" ht="15" hidden="false" customHeight="false" outlineLevel="0" collapsed="false">
      <c r="A666" s="18" t="s">
        <v>142</v>
      </c>
      <c r="B666" s="8" t="s">
        <v>136</v>
      </c>
      <c r="C666" s="6" t="s">
        <v>175</v>
      </c>
      <c r="D666" s="6" t="s">
        <v>324</v>
      </c>
      <c r="E666" s="8" t="s">
        <v>325</v>
      </c>
      <c r="F666" s="30" t="n">
        <v>0</v>
      </c>
      <c r="G666" s="15" t="s">
        <v>987</v>
      </c>
    </row>
    <row r="667" customFormat="false" ht="15" hidden="false" customHeight="false" outlineLevel="0" collapsed="false">
      <c r="A667" s="18" t="s">
        <v>142</v>
      </c>
      <c r="B667" s="8" t="s">
        <v>136</v>
      </c>
      <c r="C667" s="6" t="s">
        <v>175</v>
      </c>
      <c r="D667" s="6" t="s">
        <v>329</v>
      </c>
      <c r="E667" s="8" t="s">
        <v>330</v>
      </c>
      <c r="F667" s="30" t="n">
        <v>1</v>
      </c>
      <c r="G667" s="15" t="s">
        <v>988</v>
      </c>
    </row>
    <row r="668" customFormat="false" ht="28.35" hidden="false" customHeight="false" outlineLevel="0" collapsed="false">
      <c r="A668" s="18" t="s">
        <v>142</v>
      </c>
      <c r="B668" s="8" t="s">
        <v>136</v>
      </c>
      <c r="C668" s="6" t="s">
        <v>175</v>
      </c>
      <c r="D668" s="6" t="s">
        <v>333</v>
      </c>
      <c r="E668" s="8" t="s">
        <v>334</v>
      </c>
      <c r="F668" s="30" t="n">
        <v>2</v>
      </c>
      <c r="G668" s="15" t="s">
        <v>989</v>
      </c>
    </row>
    <row r="669" customFormat="false" ht="28.35" hidden="false" customHeight="false" outlineLevel="0" collapsed="false">
      <c r="A669" s="18" t="s">
        <v>148</v>
      </c>
      <c r="B669" s="8" t="s">
        <v>136</v>
      </c>
      <c r="C669" s="6" t="s">
        <v>163</v>
      </c>
      <c r="D669" s="6" t="s">
        <v>196</v>
      </c>
      <c r="E669" s="8" t="s">
        <v>197</v>
      </c>
      <c r="F669" s="30" t="n">
        <v>1</v>
      </c>
      <c r="G669" s="15" t="s">
        <v>990</v>
      </c>
    </row>
    <row r="670" customFormat="false" ht="15" hidden="false" customHeight="false" outlineLevel="0" collapsed="false">
      <c r="A670" s="18" t="s">
        <v>148</v>
      </c>
      <c r="B670" s="8" t="s">
        <v>136</v>
      </c>
      <c r="C670" s="6" t="s">
        <v>163</v>
      </c>
      <c r="D670" s="6" t="s">
        <v>201</v>
      </c>
      <c r="E670" s="8" t="s">
        <v>202</v>
      </c>
      <c r="F670" s="30" t="n">
        <v>2</v>
      </c>
      <c r="G670" s="15" t="s">
        <v>991</v>
      </c>
    </row>
    <row r="671" customFormat="false" ht="15" hidden="false" customHeight="false" outlineLevel="0" collapsed="false">
      <c r="A671" s="18" t="s">
        <v>148</v>
      </c>
      <c r="B671" s="8" t="s">
        <v>136</v>
      </c>
      <c r="C671" s="6" t="s">
        <v>163</v>
      </c>
      <c r="D671" s="6" t="s">
        <v>207</v>
      </c>
      <c r="E671" s="8" t="s">
        <v>208</v>
      </c>
      <c r="F671" s="30" t="n">
        <v>2</v>
      </c>
      <c r="G671" s="15" t="s">
        <v>992</v>
      </c>
    </row>
    <row r="672" customFormat="false" ht="28.35" hidden="false" customHeight="false" outlineLevel="0" collapsed="false">
      <c r="A672" s="18" t="s">
        <v>148</v>
      </c>
      <c r="B672" s="8" t="s">
        <v>136</v>
      </c>
      <c r="C672" s="6" t="s">
        <v>163</v>
      </c>
      <c r="D672" s="6" t="s">
        <v>213</v>
      </c>
      <c r="E672" s="8" t="s">
        <v>214</v>
      </c>
      <c r="F672" s="30" t="n">
        <v>2</v>
      </c>
      <c r="G672" s="15" t="s">
        <v>993</v>
      </c>
    </row>
    <row r="673" customFormat="false" ht="28.35" hidden="false" customHeight="false" outlineLevel="0" collapsed="false">
      <c r="A673" s="18" t="s">
        <v>148</v>
      </c>
      <c r="B673" s="8" t="s">
        <v>136</v>
      </c>
      <c r="C673" s="6" t="s">
        <v>163</v>
      </c>
      <c r="D673" s="6" t="s">
        <v>219</v>
      </c>
      <c r="E673" s="8" t="s">
        <v>220</v>
      </c>
      <c r="F673" s="30" t="n">
        <v>2</v>
      </c>
      <c r="G673" s="15" t="s">
        <v>994</v>
      </c>
    </row>
    <row r="674" customFormat="false" ht="15" hidden="false" customHeight="false" outlineLevel="0" collapsed="false">
      <c r="A674" s="18" t="s">
        <v>148</v>
      </c>
      <c r="B674" s="8" t="s">
        <v>136</v>
      </c>
      <c r="C674" s="6" t="s">
        <v>163</v>
      </c>
      <c r="D674" s="6" t="s">
        <v>225</v>
      </c>
      <c r="E674" s="8" t="s">
        <v>226</v>
      </c>
      <c r="F674" s="30" t="n">
        <v>0</v>
      </c>
      <c r="G674" s="15" t="s">
        <v>995</v>
      </c>
    </row>
    <row r="675" customFormat="false" ht="28.35" hidden="false" customHeight="false" outlineLevel="0" collapsed="false">
      <c r="A675" s="18" t="s">
        <v>148</v>
      </c>
      <c r="B675" s="8" t="s">
        <v>136</v>
      </c>
      <c r="C675" s="6" t="s">
        <v>163</v>
      </c>
      <c r="D675" s="6" t="s">
        <v>230</v>
      </c>
      <c r="E675" s="8" t="s">
        <v>231</v>
      </c>
      <c r="F675" s="30" t="n">
        <v>1</v>
      </c>
      <c r="G675" s="15" t="s">
        <v>996</v>
      </c>
    </row>
    <row r="676" customFormat="false" ht="28.35" hidden="false" customHeight="false" outlineLevel="0" collapsed="false">
      <c r="A676" s="18" t="s">
        <v>148</v>
      </c>
      <c r="B676" s="8" t="s">
        <v>136</v>
      </c>
      <c r="C676" s="6" t="s">
        <v>163</v>
      </c>
      <c r="D676" s="6" t="s">
        <v>236</v>
      </c>
      <c r="E676" s="8" t="s">
        <v>237</v>
      </c>
      <c r="F676" s="30" t="n">
        <v>1</v>
      </c>
      <c r="G676" s="15" t="s">
        <v>997</v>
      </c>
    </row>
    <row r="677" customFormat="false" ht="15" hidden="false" customHeight="false" outlineLevel="0" collapsed="false">
      <c r="A677" s="18" t="s">
        <v>148</v>
      </c>
      <c r="B677" s="8" t="s">
        <v>136</v>
      </c>
      <c r="C677" s="6" t="s">
        <v>166</v>
      </c>
      <c r="D677" s="6" t="s">
        <v>242</v>
      </c>
      <c r="E677" s="8" t="s">
        <v>243</v>
      </c>
      <c r="F677" s="30" t="n">
        <v>2</v>
      </c>
      <c r="G677" s="15" t="s">
        <v>998</v>
      </c>
    </row>
    <row r="678" customFormat="false" ht="15" hidden="false" customHeight="false" outlineLevel="0" collapsed="false">
      <c r="A678" s="18" t="s">
        <v>148</v>
      </c>
      <c r="B678" s="8" t="s">
        <v>136</v>
      </c>
      <c r="C678" s="6" t="s">
        <v>166</v>
      </c>
      <c r="D678" s="6" t="s">
        <v>247</v>
      </c>
      <c r="E678" s="8" t="s">
        <v>248</v>
      </c>
      <c r="F678" s="30" t="n">
        <v>2</v>
      </c>
      <c r="G678" s="15" t="s">
        <v>999</v>
      </c>
    </row>
    <row r="679" customFormat="false" ht="15" hidden="false" customHeight="false" outlineLevel="0" collapsed="false">
      <c r="A679" s="18" t="s">
        <v>148</v>
      </c>
      <c r="B679" s="8" t="s">
        <v>136</v>
      </c>
      <c r="C679" s="6" t="s">
        <v>166</v>
      </c>
      <c r="D679" s="6" t="s">
        <v>252</v>
      </c>
      <c r="E679" s="8" t="s">
        <v>253</v>
      </c>
      <c r="F679" s="30" t="n">
        <v>2</v>
      </c>
      <c r="G679" s="15" t="s">
        <v>1000</v>
      </c>
    </row>
    <row r="680" customFormat="false" ht="15" hidden="false" customHeight="false" outlineLevel="0" collapsed="false">
      <c r="A680" s="18" t="s">
        <v>148</v>
      </c>
      <c r="B680" s="8" t="s">
        <v>136</v>
      </c>
      <c r="C680" s="6" t="s">
        <v>166</v>
      </c>
      <c r="D680" s="6" t="s">
        <v>257</v>
      </c>
      <c r="E680" s="8" t="s">
        <v>258</v>
      </c>
      <c r="F680" s="30" t="n">
        <v>1</v>
      </c>
      <c r="G680" s="15" t="s">
        <v>1001</v>
      </c>
    </row>
    <row r="681" customFormat="false" ht="15" hidden="false" customHeight="false" outlineLevel="0" collapsed="false">
      <c r="A681" s="18" t="s">
        <v>148</v>
      </c>
      <c r="B681" s="8" t="s">
        <v>136</v>
      </c>
      <c r="C681" s="6" t="s">
        <v>166</v>
      </c>
      <c r="D681" s="6" t="s">
        <v>262</v>
      </c>
      <c r="E681" s="8" t="s">
        <v>263</v>
      </c>
      <c r="F681" s="30" t="n">
        <v>2</v>
      </c>
      <c r="G681" s="15" t="s">
        <v>1002</v>
      </c>
    </row>
    <row r="682" customFormat="false" ht="15" hidden="false" customHeight="false" outlineLevel="0" collapsed="false">
      <c r="A682" s="18" t="s">
        <v>148</v>
      </c>
      <c r="B682" s="8" t="s">
        <v>136</v>
      </c>
      <c r="C682" s="6" t="s">
        <v>166</v>
      </c>
      <c r="D682" s="6" t="s">
        <v>267</v>
      </c>
      <c r="E682" s="8" t="s">
        <v>268</v>
      </c>
      <c r="F682" s="30" t="n">
        <v>1</v>
      </c>
      <c r="G682" s="15" t="s">
        <v>1003</v>
      </c>
    </row>
    <row r="683" customFormat="false" ht="28.35" hidden="false" customHeight="false" outlineLevel="0" collapsed="false">
      <c r="A683" s="18" t="s">
        <v>148</v>
      </c>
      <c r="B683" s="8" t="s">
        <v>136</v>
      </c>
      <c r="C683" s="6" t="s">
        <v>166</v>
      </c>
      <c r="D683" s="6" t="s">
        <v>272</v>
      </c>
      <c r="E683" s="8" t="s">
        <v>273</v>
      </c>
      <c r="F683" s="30" t="n">
        <v>2</v>
      </c>
      <c r="G683" s="15" t="s">
        <v>1004</v>
      </c>
    </row>
    <row r="684" customFormat="false" ht="15" hidden="false" customHeight="false" outlineLevel="0" collapsed="false">
      <c r="A684" s="18" t="s">
        <v>148</v>
      </c>
      <c r="B684" s="8" t="s">
        <v>136</v>
      </c>
      <c r="C684" s="6" t="s">
        <v>166</v>
      </c>
      <c r="D684" s="6" t="s">
        <v>276</v>
      </c>
      <c r="E684" s="8" t="s">
        <v>277</v>
      </c>
      <c r="F684" s="30" t="n">
        <v>2</v>
      </c>
      <c r="G684" s="15" t="s">
        <v>1005</v>
      </c>
    </row>
    <row r="685" customFormat="false" ht="28.35" hidden="false" customHeight="false" outlineLevel="0" collapsed="false">
      <c r="A685" s="18" t="s">
        <v>148</v>
      </c>
      <c r="B685" s="8" t="s">
        <v>136</v>
      </c>
      <c r="C685" s="6" t="s">
        <v>169</v>
      </c>
      <c r="D685" s="6" t="s">
        <v>280</v>
      </c>
      <c r="E685" s="8" t="s">
        <v>281</v>
      </c>
      <c r="F685" s="30" t="n">
        <v>1</v>
      </c>
      <c r="G685" s="15" t="s">
        <v>1006</v>
      </c>
    </row>
    <row r="686" customFormat="false" ht="28.35" hidden="false" customHeight="false" outlineLevel="0" collapsed="false">
      <c r="A686" s="18" t="s">
        <v>148</v>
      </c>
      <c r="B686" s="8" t="s">
        <v>136</v>
      </c>
      <c r="C686" s="6" t="s">
        <v>169</v>
      </c>
      <c r="D686" s="6" t="s">
        <v>285</v>
      </c>
      <c r="E686" s="8" t="s">
        <v>286</v>
      </c>
      <c r="F686" s="30" t="n">
        <v>2</v>
      </c>
      <c r="G686" s="15" t="s">
        <v>1007</v>
      </c>
    </row>
    <row r="687" customFormat="false" ht="15" hidden="false" customHeight="false" outlineLevel="0" collapsed="false">
      <c r="A687" s="18" t="s">
        <v>148</v>
      </c>
      <c r="B687" s="8" t="s">
        <v>136</v>
      </c>
      <c r="C687" s="6" t="s">
        <v>169</v>
      </c>
      <c r="D687" s="6" t="s">
        <v>290</v>
      </c>
      <c r="E687" s="8" t="s">
        <v>291</v>
      </c>
      <c r="F687" s="30" t="n">
        <v>1</v>
      </c>
      <c r="G687" s="15" t="s">
        <v>1008</v>
      </c>
    </row>
    <row r="688" customFormat="false" ht="28.35" hidden="false" customHeight="false" outlineLevel="0" collapsed="false">
      <c r="A688" s="18" t="s">
        <v>148</v>
      </c>
      <c r="B688" s="8" t="s">
        <v>136</v>
      </c>
      <c r="C688" s="6" t="s">
        <v>169</v>
      </c>
      <c r="D688" s="6" t="s">
        <v>295</v>
      </c>
      <c r="E688" s="8" t="s">
        <v>296</v>
      </c>
      <c r="F688" s="30" t="n">
        <v>2</v>
      </c>
      <c r="G688" s="15" t="s">
        <v>1009</v>
      </c>
    </row>
    <row r="689" customFormat="false" ht="28.35" hidden="false" customHeight="false" outlineLevel="0" collapsed="false">
      <c r="A689" s="18" t="s">
        <v>148</v>
      </c>
      <c r="B689" s="8" t="s">
        <v>136</v>
      </c>
      <c r="C689" s="6" t="s">
        <v>169</v>
      </c>
      <c r="D689" s="6" t="s">
        <v>299</v>
      </c>
      <c r="E689" s="8" t="s">
        <v>300</v>
      </c>
      <c r="F689" s="30" t="n">
        <v>1</v>
      </c>
      <c r="G689" s="15" t="s">
        <v>1010</v>
      </c>
    </row>
    <row r="690" customFormat="false" ht="28.35" hidden="false" customHeight="false" outlineLevel="0" collapsed="false">
      <c r="A690" s="18" t="s">
        <v>148</v>
      </c>
      <c r="B690" s="8" t="s">
        <v>136</v>
      </c>
      <c r="C690" s="6" t="s">
        <v>172</v>
      </c>
      <c r="D690" s="6" t="s">
        <v>303</v>
      </c>
      <c r="E690" s="8" t="s">
        <v>304</v>
      </c>
      <c r="F690" s="30" t="n">
        <v>2</v>
      </c>
      <c r="G690" s="15" t="s">
        <v>1011</v>
      </c>
    </row>
    <row r="691" customFormat="false" ht="28.35" hidden="false" customHeight="false" outlineLevel="0" collapsed="false">
      <c r="A691" s="18" t="s">
        <v>148</v>
      </c>
      <c r="B691" s="8" t="s">
        <v>136</v>
      </c>
      <c r="C691" s="6" t="s">
        <v>172</v>
      </c>
      <c r="D691" s="6" t="s">
        <v>307</v>
      </c>
      <c r="E691" s="8" t="s">
        <v>308</v>
      </c>
      <c r="F691" s="30" t="n">
        <v>2</v>
      </c>
      <c r="G691" s="15" t="s">
        <v>1012</v>
      </c>
    </row>
    <row r="692" customFormat="false" ht="28.35" hidden="false" customHeight="false" outlineLevel="0" collapsed="false">
      <c r="A692" s="18" t="s">
        <v>148</v>
      </c>
      <c r="B692" s="8" t="s">
        <v>136</v>
      </c>
      <c r="C692" s="6" t="s">
        <v>172</v>
      </c>
      <c r="D692" s="6" t="s">
        <v>311</v>
      </c>
      <c r="E692" s="8" t="s">
        <v>312</v>
      </c>
      <c r="F692" s="30" t="n">
        <v>2</v>
      </c>
      <c r="G692" s="15" t="s">
        <v>1013</v>
      </c>
    </row>
    <row r="693" customFormat="false" ht="15" hidden="false" customHeight="false" outlineLevel="0" collapsed="false">
      <c r="A693" s="18" t="s">
        <v>148</v>
      </c>
      <c r="B693" s="8" t="s">
        <v>136</v>
      </c>
      <c r="C693" s="6" t="s">
        <v>172</v>
      </c>
      <c r="D693" s="6" t="s">
        <v>315</v>
      </c>
      <c r="E693" s="8" t="s">
        <v>316</v>
      </c>
      <c r="F693" s="30" t="n">
        <v>2</v>
      </c>
      <c r="G693" s="15" t="s">
        <v>1014</v>
      </c>
    </row>
    <row r="694" customFormat="false" ht="28.35" hidden="false" customHeight="false" outlineLevel="0" collapsed="false">
      <c r="A694" s="18" t="s">
        <v>148</v>
      </c>
      <c r="B694" s="8" t="s">
        <v>136</v>
      </c>
      <c r="C694" s="6" t="s">
        <v>172</v>
      </c>
      <c r="D694" s="6" t="s">
        <v>318</v>
      </c>
      <c r="E694" s="8" t="s">
        <v>319</v>
      </c>
      <c r="F694" s="30" t="n">
        <v>1</v>
      </c>
      <c r="G694" s="15" t="s">
        <v>1015</v>
      </c>
    </row>
    <row r="695" customFormat="false" ht="15" hidden="false" customHeight="false" outlineLevel="0" collapsed="false">
      <c r="A695" s="18" t="s">
        <v>148</v>
      </c>
      <c r="B695" s="8" t="s">
        <v>136</v>
      </c>
      <c r="C695" s="6" t="s">
        <v>175</v>
      </c>
      <c r="D695" s="6" t="s">
        <v>324</v>
      </c>
      <c r="E695" s="8" t="s">
        <v>325</v>
      </c>
      <c r="F695" s="30" t="n">
        <v>1</v>
      </c>
      <c r="G695" s="15" t="s">
        <v>1016</v>
      </c>
    </row>
    <row r="696" customFormat="false" ht="15" hidden="false" customHeight="false" outlineLevel="0" collapsed="false">
      <c r="A696" s="18" t="s">
        <v>148</v>
      </c>
      <c r="B696" s="8" t="s">
        <v>136</v>
      </c>
      <c r="C696" s="6" t="s">
        <v>175</v>
      </c>
      <c r="D696" s="6" t="s">
        <v>329</v>
      </c>
      <c r="E696" s="8" t="s">
        <v>330</v>
      </c>
      <c r="F696" s="30" t="n">
        <v>2</v>
      </c>
      <c r="G696" s="15" t="s">
        <v>1017</v>
      </c>
    </row>
    <row r="697" customFormat="false" ht="28.35" hidden="false" customHeight="false" outlineLevel="0" collapsed="false">
      <c r="A697" s="18" t="s">
        <v>148</v>
      </c>
      <c r="B697" s="8" t="s">
        <v>136</v>
      </c>
      <c r="C697" s="6" t="s">
        <v>175</v>
      </c>
      <c r="D697" s="6" t="s">
        <v>333</v>
      </c>
      <c r="E697" s="8" t="s">
        <v>334</v>
      </c>
      <c r="F697" s="30" t="n">
        <v>1</v>
      </c>
      <c r="G697" s="15" t="s">
        <v>1018</v>
      </c>
    </row>
  </sheetData>
  <autoFilter ref="A1:G697"/>
  <dataValidations count="1">
    <dataValidation allowBlank="false" errorStyle="stop" operator="between" showDropDown="false" showErrorMessage="false" showInputMessage="false" sqref="F2:F1297" type="list">
      <formula1>"0,1,2,U"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8"/>
    <col collapsed="false" customWidth="true" hidden="false" outlineLevel="0" max="4" min="4" style="0" width="11"/>
    <col collapsed="false" customWidth="true" hidden="false" outlineLevel="0" max="5" min="5" style="0" width="7"/>
    <col collapsed="false" customWidth="true" hidden="false" outlineLevel="0" max="6" min="6" style="0" width="60"/>
    <col collapsed="false" customWidth="true" hidden="false" outlineLevel="0" max="7" min="7" style="0" width="44"/>
    <col collapsed="false" customWidth="true" hidden="false" outlineLevel="0" max="8" min="8" style="0" width="40"/>
    <col collapsed="false" customWidth="true" hidden="false" outlineLevel="0" max="10" min="9" style="0" width="60"/>
    <col collapsed="false" customWidth="true" hidden="false" outlineLevel="0" max="11" min="11" style="0" width="44"/>
    <col collapsed="false" customWidth="true" hidden="false" outlineLevel="0" max="12" min="12" style="0" width="12"/>
    <col collapsed="false" customWidth="true" hidden="false" outlineLevel="0" max="13" min="13" style="0" width="14"/>
  </cols>
  <sheetData>
    <row r="1" customFormat="false" ht="30" hidden="false" customHeight="true" outlineLevel="0" collapsed="false">
      <c r="A1" s="5" t="s">
        <v>18</v>
      </c>
      <c r="B1" s="5" t="s">
        <v>19</v>
      </c>
      <c r="C1" s="5" t="s">
        <v>38</v>
      </c>
      <c r="D1" s="5" t="s">
        <v>1019</v>
      </c>
      <c r="E1" s="5" t="s">
        <v>190</v>
      </c>
      <c r="F1" s="5" t="s">
        <v>1020</v>
      </c>
      <c r="G1" s="5" t="s">
        <v>1021</v>
      </c>
      <c r="H1" s="5" t="s">
        <v>1022</v>
      </c>
      <c r="I1" s="5" t="s">
        <v>1023</v>
      </c>
      <c r="J1" s="5" t="s">
        <v>1024</v>
      </c>
      <c r="K1" s="5" t="s">
        <v>1025</v>
      </c>
      <c r="L1" s="5" t="s">
        <v>159</v>
      </c>
      <c r="M1" s="5" t="s">
        <v>1026</v>
      </c>
    </row>
    <row r="2" customFormat="false" ht="28.35" hidden="false" customHeight="false" outlineLevel="0" collapsed="false">
      <c r="A2" s="8" t="s">
        <v>44</v>
      </c>
      <c r="B2" s="8" t="s">
        <v>45</v>
      </c>
      <c r="C2" s="31" t="n">
        <f aca="false">INDEX(Index!$W$2:$W$25,MATCH(A2,Index!$C$2:$C$25,0))</f>
        <v>95.1</v>
      </c>
      <c r="D2" s="8" t="s">
        <v>1027</v>
      </c>
      <c r="E2" s="6" t="s">
        <v>1028</v>
      </c>
      <c r="F2" s="15" t="s">
        <v>1029</v>
      </c>
      <c r="G2" s="15"/>
      <c r="H2" s="15"/>
      <c r="I2" s="15"/>
      <c r="J2" s="15"/>
      <c r="K2" s="15"/>
      <c r="L2" s="6" t="s">
        <v>166</v>
      </c>
      <c r="M2" s="8" t="s">
        <v>1030</v>
      </c>
    </row>
    <row r="3" customFormat="false" ht="28.35" hidden="false" customHeight="false" outlineLevel="0" collapsed="false">
      <c r="A3" s="8" t="s">
        <v>44</v>
      </c>
      <c r="B3" s="8" t="s">
        <v>45</v>
      </c>
      <c r="C3" s="31" t="n">
        <f aca="false">INDEX(Index!$W$2:$W$25,MATCH(A3,Index!$C$2:$C$25,0))</f>
        <v>95.1</v>
      </c>
      <c r="D3" s="8" t="s">
        <v>1027</v>
      </c>
      <c r="E3" s="6" t="s">
        <v>1031</v>
      </c>
      <c r="F3" s="15" t="s">
        <v>1032</v>
      </c>
      <c r="G3" s="15"/>
      <c r="H3" s="15"/>
      <c r="I3" s="15"/>
      <c r="J3" s="15"/>
      <c r="K3" s="15"/>
      <c r="L3" s="6" t="s">
        <v>166</v>
      </c>
      <c r="M3" s="8" t="s">
        <v>1030</v>
      </c>
    </row>
    <row r="4" customFormat="false" ht="41.75" hidden="false" customHeight="false" outlineLevel="0" collapsed="false">
      <c r="A4" s="8" t="s">
        <v>44</v>
      </c>
      <c r="B4" s="8" t="s">
        <v>45</v>
      </c>
      <c r="C4" s="31" t="n">
        <f aca="false">INDEX(Index!$W$2:$W$25,MATCH(A4,Index!$C$2:$C$25,0))</f>
        <v>95.1</v>
      </c>
      <c r="D4" s="8" t="s">
        <v>1027</v>
      </c>
      <c r="E4" s="6" t="s">
        <v>1033</v>
      </c>
      <c r="F4" s="15" t="s">
        <v>1034</v>
      </c>
      <c r="G4" s="15"/>
      <c r="H4" s="15"/>
      <c r="I4" s="15"/>
      <c r="J4" s="15"/>
      <c r="K4" s="15"/>
      <c r="L4" s="6" t="s">
        <v>172</v>
      </c>
      <c r="M4" s="8" t="s">
        <v>1030</v>
      </c>
    </row>
    <row r="5" customFormat="false" ht="28.35" hidden="false" customHeight="false" outlineLevel="0" collapsed="false">
      <c r="A5" s="8" t="s">
        <v>44</v>
      </c>
      <c r="B5" s="8" t="s">
        <v>45</v>
      </c>
      <c r="C5" s="31" t="n">
        <f aca="false">INDEX(Index!$W$2:$W$25,MATCH(A5,Index!$C$2:$C$25,0))</f>
        <v>95.1</v>
      </c>
      <c r="D5" s="8" t="s">
        <v>1024</v>
      </c>
      <c r="E5" s="6" t="s">
        <v>196</v>
      </c>
      <c r="F5" s="15" t="s">
        <v>1035</v>
      </c>
      <c r="G5" s="15"/>
      <c r="H5" s="15"/>
      <c r="I5" s="15"/>
      <c r="J5" s="15"/>
      <c r="K5" s="15"/>
      <c r="L5" s="6" t="s">
        <v>175</v>
      </c>
      <c r="M5" s="8" t="s">
        <v>1030</v>
      </c>
    </row>
    <row r="6" customFormat="false" ht="41.75" hidden="false" customHeight="false" outlineLevel="0" collapsed="false">
      <c r="A6" s="8" t="s">
        <v>44</v>
      </c>
      <c r="B6" s="8" t="s">
        <v>45</v>
      </c>
      <c r="C6" s="31" t="n">
        <f aca="false">INDEX(Index!$W$2:$W$25,MATCH(A6,Index!$C$2:$C$25,0))</f>
        <v>95.1</v>
      </c>
      <c r="D6" s="8" t="s">
        <v>1024</v>
      </c>
      <c r="E6" s="6" t="s">
        <v>201</v>
      </c>
      <c r="F6" s="15" t="s">
        <v>1036</v>
      </c>
      <c r="G6" s="15"/>
      <c r="H6" s="15"/>
      <c r="I6" s="15"/>
      <c r="J6" s="15"/>
      <c r="K6" s="15"/>
      <c r="L6" s="6" t="s">
        <v>166</v>
      </c>
      <c r="M6" s="8" t="s">
        <v>1030</v>
      </c>
    </row>
    <row r="7" customFormat="false" ht="41.75" hidden="false" customHeight="false" outlineLevel="0" collapsed="false">
      <c r="A7" s="8" t="s">
        <v>44</v>
      </c>
      <c r="B7" s="8" t="s">
        <v>45</v>
      </c>
      <c r="C7" s="31" t="n">
        <f aca="false">INDEX(Index!$W$2:$W$25,MATCH(A7,Index!$C$2:$C$25,0))</f>
        <v>95.1</v>
      </c>
      <c r="D7" s="8" t="s">
        <v>1024</v>
      </c>
      <c r="E7" s="6" t="s">
        <v>207</v>
      </c>
      <c r="F7" s="15" t="s">
        <v>1037</v>
      </c>
      <c r="G7" s="15"/>
      <c r="H7" s="15"/>
      <c r="I7" s="15"/>
      <c r="J7" s="15"/>
      <c r="K7" s="15"/>
      <c r="L7" s="6" t="s">
        <v>163</v>
      </c>
      <c r="M7" s="8" t="s">
        <v>1030</v>
      </c>
    </row>
    <row r="8" customFormat="false" ht="28.35" hidden="false" customHeight="false" outlineLevel="0" collapsed="false">
      <c r="A8" s="8" t="s">
        <v>52</v>
      </c>
      <c r="B8" s="8" t="s">
        <v>45</v>
      </c>
      <c r="C8" s="31" t="n">
        <f aca="false">INDEX(Index!$W$2:$W$25,MATCH(A8,Index!$C$2:$C$25,0))</f>
        <v>93.8</v>
      </c>
      <c r="D8" s="8" t="s">
        <v>1027</v>
      </c>
      <c r="E8" s="6" t="s">
        <v>1028</v>
      </c>
      <c r="F8" s="15" t="s">
        <v>1038</v>
      </c>
      <c r="G8" s="15"/>
      <c r="H8" s="15"/>
      <c r="I8" s="15"/>
      <c r="J8" s="15"/>
      <c r="K8" s="15"/>
      <c r="L8" s="6" t="s">
        <v>166</v>
      </c>
      <c r="M8" s="8" t="s">
        <v>1030</v>
      </c>
    </row>
    <row r="9" customFormat="false" ht="28.35" hidden="false" customHeight="false" outlineLevel="0" collapsed="false">
      <c r="A9" s="8" t="s">
        <v>52</v>
      </c>
      <c r="B9" s="8" t="s">
        <v>45</v>
      </c>
      <c r="C9" s="31" t="n">
        <f aca="false">INDEX(Index!$W$2:$W$25,MATCH(A9,Index!$C$2:$C$25,0))</f>
        <v>93.8</v>
      </c>
      <c r="D9" s="8" t="s">
        <v>1027</v>
      </c>
      <c r="E9" s="6" t="s">
        <v>1031</v>
      </c>
      <c r="F9" s="15" t="s">
        <v>1039</v>
      </c>
      <c r="G9" s="15"/>
      <c r="H9" s="15"/>
      <c r="I9" s="15"/>
      <c r="J9" s="15"/>
      <c r="K9" s="15"/>
      <c r="L9" s="6" t="s">
        <v>169</v>
      </c>
      <c r="M9" s="8" t="s">
        <v>1030</v>
      </c>
    </row>
    <row r="10" customFormat="false" ht="28.35" hidden="false" customHeight="false" outlineLevel="0" collapsed="false">
      <c r="A10" s="8" t="s">
        <v>52</v>
      </c>
      <c r="B10" s="8" t="s">
        <v>45</v>
      </c>
      <c r="C10" s="31" t="n">
        <f aca="false">INDEX(Index!$W$2:$W$25,MATCH(A10,Index!$C$2:$C$25,0))</f>
        <v>93.8</v>
      </c>
      <c r="D10" s="8" t="s">
        <v>1027</v>
      </c>
      <c r="E10" s="6" t="s">
        <v>1033</v>
      </c>
      <c r="F10" s="15" t="s">
        <v>1040</v>
      </c>
      <c r="G10" s="15"/>
      <c r="H10" s="15"/>
      <c r="I10" s="15"/>
      <c r="J10" s="15"/>
      <c r="K10" s="15"/>
      <c r="L10" s="6" t="s">
        <v>166</v>
      </c>
      <c r="M10" s="8" t="s">
        <v>1030</v>
      </c>
    </row>
    <row r="11" customFormat="false" ht="28.35" hidden="false" customHeight="false" outlineLevel="0" collapsed="false">
      <c r="A11" s="8" t="s">
        <v>52</v>
      </c>
      <c r="B11" s="8" t="s">
        <v>45</v>
      </c>
      <c r="C11" s="31" t="n">
        <f aca="false">INDEX(Index!$W$2:$W$25,MATCH(A11,Index!$C$2:$C$25,0))</f>
        <v>93.8</v>
      </c>
      <c r="D11" s="8" t="s">
        <v>1024</v>
      </c>
      <c r="E11" s="6" t="s">
        <v>196</v>
      </c>
      <c r="F11" s="15" t="s">
        <v>1041</v>
      </c>
      <c r="G11" s="15"/>
      <c r="H11" s="15"/>
      <c r="I11" s="15"/>
      <c r="J11" s="15"/>
      <c r="K11" s="15"/>
      <c r="L11" s="6" t="s">
        <v>163</v>
      </c>
      <c r="M11" s="8" t="s">
        <v>1030</v>
      </c>
    </row>
    <row r="12" customFormat="false" ht="28.35" hidden="false" customHeight="false" outlineLevel="0" collapsed="false">
      <c r="A12" s="8" t="s">
        <v>52</v>
      </c>
      <c r="B12" s="8" t="s">
        <v>45</v>
      </c>
      <c r="C12" s="31" t="n">
        <f aca="false">INDEX(Index!$W$2:$W$25,MATCH(A12,Index!$C$2:$C$25,0))</f>
        <v>93.8</v>
      </c>
      <c r="D12" s="8" t="s">
        <v>1024</v>
      </c>
      <c r="E12" s="6" t="s">
        <v>201</v>
      </c>
      <c r="F12" s="15" t="s">
        <v>1042</v>
      </c>
      <c r="G12" s="15"/>
      <c r="H12" s="15"/>
      <c r="I12" s="15"/>
      <c r="J12" s="15"/>
      <c r="K12" s="15"/>
      <c r="L12" s="6" t="s">
        <v>172</v>
      </c>
      <c r="M12" s="8" t="s">
        <v>1030</v>
      </c>
    </row>
    <row r="13" customFormat="false" ht="28.35" hidden="false" customHeight="false" outlineLevel="0" collapsed="false">
      <c r="A13" s="8" t="s">
        <v>52</v>
      </c>
      <c r="B13" s="8" t="s">
        <v>45</v>
      </c>
      <c r="C13" s="31" t="n">
        <f aca="false">INDEX(Index!$W$2:$W$25,MATCH(A13,Index!$C$2:$C$25,0))</f>
        <v>93.8</v>
      </c>
      <c r="D13" s="8" t="s">
        <v>1024</v>
      </c>
      <c r="E13" s="6" t="s">
        <v>207</v>
      </c>
      <c r="F13" s="15" t="s">
        <v>1043</v>
      </c>
      <c r="G13" s="15"/>
      <c r="H13" s="15"/>
      <c r="I13" s="15"/>
      <c r="J13" s="15"/>
      <c r="K13" s="15"/>
      <c r="L13" s="6" t="s">
        <v>172</v>
      </c>
      <c r="M13" s="8" t="s">
        <v>1030</v>
      </c>
    </row>
    <row r="14" customFormat="false" ht="28.35" hidden="false" customHeight="false" outlineLevel="0" collapsed="false">
      <c r="A14" s="8" t="s">
        <v>58</v>
      </c>
      <c r="B14" s="8" t="s">
        <v>45</v>
      </c>
      <c r="C14" s="31" t="n">
        <f aca="false">INDEX(Index!$W$2:$W$25,MATCH(A14,Index!$C$2:$C$25,0))</f>
        <v>90.8</v>
      </c>
      <c r="D14" s="8" t="s">
        <v>1027</v>
      </c>
      <c r="E14" s="6" t="s">
        <v>1028</v>
      </c>
      <c r="F14" s="15" t="s">
        <v>1044</v>
      </c>
      <c r="G14" s="15"/>
      <c r="H14" s="15"/>
      <c r="I14" s="15"/>
      <c r="J14" s="15"/>
      <c r="K14" s="15"/>
      <c r="L14" s="6" t="s">
        <v>163</v>
      </c>
      <c r="M14" s="8" t="s">
        <v>1030</v>
      </c>
    </row>
    <row r="15" customFormat="false" ht="28.35" hidden="false" customHeight="false" outlineLevel="0" collapsed="false">
      <c r="A15" s="8" t="s">
        <v>58</v>
      </c>
      <c r="B15" s="8" t="s">
        <v>45</v>
      </c>
      <c r="C15" s="31" t="n">
        <f aca="false">INDEX(Index!$W$2:$W$25,MATCH(A15,Index!$C$2:$C$25,0))</f>
        <v>90.8</v>
      </c>
      <c r="D15" s="8" t="s">
        <v>1027</v>
      </c>
      <c r="E15" s="6" t="s">
        <v>1031</v>
      </c>
      <c r="F15" s="15" t="s">
        <v>1045</v>
      </c>
      <c r="G15" s="15"/>
      <c r="H15" s="15"/>
      <c r="I15" s="15"/>
      <c r="J15" s="15"/>
      <c r="K15" s="15"/>
      <c r="L15" s="6" t="s">
        <v>169</v>
      </c>
      <c r="M15" s="8" t="s">
        <v>1030</v>
      </c>
    </row>
    <row r="16" customFormat="false" ht="28.35" hidden="false" customHeight="false" outlineLevel="0" collapsed="false">
      <c r="A16" s="8" t="s">
        <v>58</v>
      </c>
      <c r="B16" s="8" t="s">
        <v>45</v>
      </c>
      <c r="C16" s="31" t="n">
        <f aca="false">INDEX(Index!$W$2:$W$25,MATCH(A16,Index!$C$2:$C$25,0))</f>
        <v>90.8</v>
      </c>
      <c r="D16" s="8" t="s">
        <v>1027</v>
      </c>
      <c r="E16" s="6" t="s">
        <v>1033</v>
      </c>
      <c r="F16" s="15" t="s">
        <v>1046</v>
      </c>
      <c r="G16" s="15"/>
      <c r="H16" s="15"/>
      <c r="I16" s="15"/>
      <c r="J16" s="15"/>
      <c r="K16" s="15"/>
      <c r="L16" s="6" t="s">
        <v>175</v>
      </c>
      <c r="M16" s="8" t="s">
        <v>1030</v>
      </c>
    </row>
    <row r="17" customFormat="false" ht="28.35" hidden="false" customHeight="false" outlineLevel="0" collapsed="false">
      <c r="A17" s="8" t="s">
        <v>58</v>
      </c>
      <c r="B17" s="8" t="s">
        <v>45</v>
      </c>
      <c r="C17" s="31" t="n">
        <f aca="false">INDEX(Index!$W$2:$W$25,MATCH(A17,Index!$C$2:$C$25,0))</f>
        <v>90.8</v>
      </c>
      <c r="D17" s="8" t="s">
        <v>1024</v>
      </c>
      <c r="E17" s="6" t="s">
        <v>196</v>
      </c>
      <c r="F17" s="15" t="s">
        <v>1047</v>
      </c>
      <c r="G17" s="15"/>
      <c r="H17" s="15"/>
      <c r="I17" s="15"/>
      <c r="J17" s="15"/>
      <c r="K17" s="15"/>
      <c r="L17" s="6" t="s">
        <v>169</v>
      </c>
      <c r="M17" s="8" t="s">
        <v>1030</v>
      </c>
    </row>
    <row r="18" customFormat="false" ht="28.35" hidden="false" customHeight="false" outlineLevel="0" collapsed="false">
      <c r="A18" s="8" t="s">
        <v>58</v>
      </c>
      <c r="B18" s="8" t="s">
        <v>45</v>
      </c>
      <c r="C18" s="31" t="n">
        <f aca="false">INDEX(Index!$W$2:$W$25,MATCH(A18,Index!$C$2:$C$25,0))</f>
        <v>90.8</v>
      </c>
      <c r="D18" s="8" t="s">
        <v>1024</v>
      </c>
      <c r="E18" s="6" t="s">
        <v>201</v>
      </c>
      <c r="F18" s="15" t="s">
        <v>1048</v>
      </c>
      <c r="G18" s="15"/>
      <c r="H18" s="15"/>
      <c r="I18" s="15"/>
      <c r="J18" s="15"/>
      <c r="K18" s="15"/>
      <c r="L18" s="6" t="s">
        <v>166</v>
      </c>
      <c r="M18" s="8" t="s">
        <v>1030</v>
      </c>
    </row>
    <row r="19" customFormat="false" ht="28.35" hidden="false" customHeight="false" outlineLevel="0" collapsed="false">
      <c r="A19" s="8" t="s">
        <v>58</v>
      </c>
      <c r="B19" s="8" t="s">
        <v>45</v>
      </c>
      <c r="C19" s="31" t="n">
        <f aca="false">INDEX(Index!$W$2:$W$25,MATCH(A19,Index!$C$2:$C$25,0))</f>
        <v>90.8</v>
      </c>
      <c r="D19" s="8" t="s">
        <v>1024</v>
      </c>
      <c r="E19" s="6" t="s">
        <v>207</v>
      </c>
      <c r="F19" s="15" t="s">
        <v>1049</v>
      </c>
      <c r="G19" s="15"/>
      <c r="H19" s="15"/>
      <c r="I19" s="15"/>
      <c r="J19" s="15"/>
      <c r="K19" s="15"/>
      <c r="L19" s="6" t="s">
        <v>166</v>
      </c>
      <c r="M19" s="8" t="s">
        <v>1030</v>
      </c>
    </row>
    <row r="20" customFormat="false" ht="28.35" hidden="false" customHeight="false" outlineLevel="0" collapsed="false">
      <c r="A20" s="8" t="s">
        <v>64</v>
      </c>
      <c r="B20" s="8" t="s">
        <v>45</v>
      </c>
      <c r="C20" s="31" t="n">
        <f aca="false">INDEX(Index!$W$2:$W$25,MATCH(A20,Index!$C$2:$C$25,0))</f>
        <v>89.6</v>
      </c>
      <c r="D20" s="8" t="s">
        <v>1027</v>
      </c>
      <c r="E20" s="6" t="s">
        <v>1028</v>
      </c>
      <c r="F20" s="15" t="s">
        <v>1050</v>
      </c>
      <c r="G20" s="15"/>
      <c r="H20" s="15"/>
      <c r="I20" s="15"/>
      <c r="J20" s="15"/>
      <c r="K20" s="15"/>
      <c r="L20" s="6" t="s">
        <v>166</v>
      </c>
      <c r="M20" s="8" t="s">
        <v>1030</v>
      </c>
    </row>
    <row r="21" customFormat="false" ht="28.35" hidden="false" customHeight="false" outlineLevel="0" collapsed="false">
      <c r="A21" s="8" t="s">
        <v>64</v>
      </c>
      <c r="B21" s="8" t="s">
        <v>45</v>
      </c>
      <c r="C21" s="31" t="n">
        <f aca="false">INDEX(Index!$W$2:$W$25,MATCH(A21,Index!$C$2:$C$25,0))</f>
        <v>89.6</v>
      </c>
      <c r="D21" s="8" t="s">
        <v>1027</v>
      </c>
      <c r="E21" s="6" t="s">
        <v>1031</v>
      </c>
      <c r="F21" s="15" t="s">
        <v>1051</v>
      </c>
      <c r="G21" s="15"/>
      <c r="H21" s="15"/>
      <c r="I21" s="15"/>
      <c r="J21" s="15"/>
      <c r="K21" s="15"/>
      <c r="L21" s="6" t="s">
        <v>169</v>
      </c>
      <c r="M21" s="8" t="s">
        <v>1030</v>
      </c>
    </row>
    <row r="22" customFormat="false" ht="28.35" hidden="false" customHeight="false" outlineLevel="0" collapsed="false">
      <c r="A22" s="8" t="s">
        <v>64</v>
      </c>
      <c r="B22" s="8" t="s">
        <v>45</v>
      </c>
      <c r="C22" s="31" t="n">
        <f aca="false">INDEX(Index!$W$2:$W$25,MATCH(A22,Index!$C$2:$C$25,0))</f>
        <v>89.6</v>
      </c>
      <c r="D22" s="8" t="s">
        <v>1027</v>
      </c>
      <c r="E22" s="6" t="s">
        <v>1033</v>
      </c>
      <c r="F22" s="15" t="s">
        <v>1052</v>
      </c>
      <c r="G22" s="15"/>
      <c r="H22" s="15"/>
      <c r="I22" s="15"/>
      <c r="J22" s="15"/>
      <c r="K22" s="15"/>
      <c r="L22" s="6" t="s">
        <v>172</v>
      </c>
      <c r="M22" s="8" t="s">
        <v>1030</v>
      </c>
    </row>
    <row r="23" customFormat="false" ht="41.75" hidden="false" customHeight="false" outlineLevel="0" collapsed="false">
      <c r="A23" s="8" t="s">
        <v>64</v>
      </c>
      <c r="B23" s="8" t="s">
        <v>45</v>
      </c>
      <c r="C23" s="31" t="n">
        <f aca="false">INDEX(Index!$W$2:$W$25,MATCH(A23,Index!$C$2:$C$25,0))</f>
        <v>89.6</v>
      </c>
      <c r="D23" s="8" t="s">
        <v>1024</v>
      </c>
      <c r="E23" s="6" t="s">
        <v>196</v>
      </c>
      <c r="F23" s="15" t="s">
        <v>1053</v>
      </c>
      <c r="G23" s="15"/>
      <c r="H23" s="15"/>
      <c r="I23" s="15"/>
      <c r="J23" s="15"/>
      <c r="K23" s="15"/>
      <c r="L23" s="6" t="s">
        <v>163</v>
      </c>
      <c r="M23" s="8" t="s">
        <v>1030</v>
      </c>
    </row>
    <row r="24" customFormat="false" ht="28.35" hidden="false" customHeight="false" outlineLevel="0" collapsed="false">
      <c r="A24" s="8" t="s">
        <v>64</v>
      </c>
      <c r="B24" s="8" t="s">
        <v>45</v>
      </c>
      <c r="C24" s="31" t="n">
        <f aca="false">INDEX(Index!$W$2:$W$25,MATCH(A24,Index!$C$2:$C$25,0))</f>
        <v>89.6</v>
      </c>
      <c r="D24" s="8" t="s">
        <v>1024</v>
      </c>
      <c r="E24" s="6" t="s">
        <v>201</v>
      </c>
      <c r="F24" s="15" t="s">
        <v>1054</v>
      </c>
      <c r="G24" s="15"/>
      <c r="H24" s="15"/>
      <c r="I24" s="15"/>
      <c r="J24" s="15"/>
      <c r="K24" s="15"/>
      <c r="L24" s="6" t="s">
        <v>166</v>
      </c>
      <c r="M24" s="8" t="s">
        <v>1030</v>
      </c>
    </row>
    <row r="25" customFormat="false" ht="28.35" hidden="false" customHeight="false" outlineLevel="0" collapsed="false">
      <c r="A25" s="8" t="s">
        <v>64</v>
      </c>
      <c r="B25" s="8" t="s">
        <v>45</v>
      </c>
      <c r="C25" s="31" t="n">
        <f aca="false">INDEX(Index!$W$2:$W$25,MATCH(A25,Index!$C$2:$C$25,0))</f>
        <v>89.6</v>
      </c>
      <c r="D25" s="8" t="s">
        <v>1024</v>
      </c>
      <c r="E25" s="6" t="s">
        <v>207</v>
      </c>
      <c r="F25" s="15" t="s">
        <v>1055</v>
      </c>
      <c r="G25" s="15"/>
      <c r="H25" s="15"/>
      <c r="I25" s="15"/>
      <c r="J25" s="15"/>
      <c r="K25" s="15"/>
      <c r="L25" s="6" t="s">
        <v>166</v>
      </c>
      <c r="M25" s="8" t="s">
        <v>1030</v>
      </c>
    </row>
    <row r="26" customFormat="false" ht="28.35" hidden="false" customHeight="false" outlineLevel="0" collapsed="false">
      <c r="A26" s="8" t="s">
        <v>68</v>
      </c>
      <c r="B26" s="8" t="s">
        <v>45</v>
      </c>
      <c r="C26" s="31" t="n">
        <f aca="false">INDEX(Index!$W$2:$W$25,MATCH(A26,Index!$C$2:$C$25,0))</f>
        <v>88.5</v>
      </c>
      <c r="D26" s="8" t="s">
        <v>1027</v>
      </c>
      <c r="E26" s="6" t="s">
        <v>1028</v>
      </c>
      <c r="F26" s="15" t="s">
        <v>1056</v>
      </c>
      <c r="G26" s="15"/>
      <c r="H26" s="15"/>
      <c r="I26" s="15"/>
      <c r="J26" s="15"/>
      <c r="K26" s="15"/>
      <c r="L26" s="6" t="s">
        <v>169</v>
      </c>
      <c r="M26" s="8" t="s">
        <v>1030</v>
      </c>
    </row>
    <row r="27" customFormat="false" ht="41.75" hidden="false" customHeight="false" outlineLevel="0" collapsed="false">
      <c r="A27" s="8" t="s">
        <v>68</v>
      </c>
      <c r="B27" s="8" t="s">
        <v>45</v>
      </c>
      <c r="C27" s="31" t="n">
        <f aca="false">INDEX(Index!$W$2:$W$25,MATCH(A27,Index!$C$2:$C$25,0))</f>
        <v>88.5</v>
      </c>
      <c r="D27" s="8" t="s">
        <v>1027</v>
      </c>
      <c r="E27" s="6" t="s">
        <v>1031</v>
      </c>
      <c r="F27" s="15" t="s">
        <v>1057</v>
      </c>
      <c r="G27" s="15"/>
      <c r="H27" s="15"/>
      <c r="I27" s="15"/>
      <c r="J27" s="15"/>
      <c r="K27" s="15"/>
      <c r="L27" s="6" t="s">
        <v>166</v>
      </c>
      <c r="M27" s="8" t="s">
        <v>1030</v>
      </c>
    </row>
    <row r="28" customFormat="false" ht="41.75" hidden="false" customHeight="false" outlineLevel="0" collapsed="false">
      <c r="A28" s="8" t="s">
        <v>68</v>
      </c>
      <c r="B28" s="8" t="s">
        <v>45</v>
      </c>
      <c r="C28" s="31" t="n">
        <f aca="false">INDEX(Index!$W$2:$W$25,MATCH(A28,Index!$C$2:$C$25,0))</f>
        <v>88.5</v>
      </c>
      <c r="D28" s="8" t="s">
        <v>1027</v>
      </c>
      <c r="E28" s="6" t="s">
        <v>1033</v>
      </c>
      <c r="F28" s="15" t="s">
        <v>1058</v>
      </c>
      <c r="G28" s="15"/>
      <c r="H28" s="15"/>
      <c r="I28" s="15"/>
      <c r="J28" s="15"/>
      <c r="K28" s="15"/>
      <c r="L28" s="6" t="s">
        <v>163</v>
      </c>
      <c r="M28" s="8" t="s">
        <v>1030</v>
      </c>
    </row>
    <row r="29" customFormat="false" ht="28.35" hidden="false" customHeight="false" outlineLevel="0" collapsed="false">
      <c r="A29" s="8" t="s">
        <v>68</v>
      </c>
      <c r="B29" s="8" t="s">
        <v>45</v>
      </c>
      <c r="C29" s="31" t="n">
        <f aca="false">INDEX(Index!$W$2:$W$25,MATCH(A29,Index!$C$2:$C$25,0))</f>
        <v>88.5</v>
      </c>
      <c r="D29" s="8" t="s">
        <v>1024</v>
      </c>
      <c r="E29" s="6" t="s">
        <v>196</v>
      </c>
      <c r="F29" s="15" t="s">
        <v>1059</v>
      </c>
      <c r="G29" s="15"/>
      <c r="H29" s="15"/>
      <c r="I29" s="15"/>
      <c r="J29" s="15"/>
      <c r="K29" s="15"/>
      <c r="L29" s="6" t="s">
        <v>166</v>
      </c>
      <c r="M29" s="8" t="s">
        <v>1030</v>
      </c>
    </row>
    <row r="30" customFormat="false" ht="41.75" hidden="false" customHeight="false" outlineLevel="0" collapsed="false">
      <c r="A30" s="8" t="s">
        <v>68</v>
      </c>
      <c r="B30" s="8" t="s">
        <v>45</v>
      </c>
      <c r="C30" s="31" t="n">
        <f aca="false">INDEX(Index!$W$2:$W$25,MATCH(A30,Index!$C$2:$C$25,0))</f>
        <v>88.5</v>
      </c>
      <c r="D30" s="8" t="s">
        <v>1024</v>
      </c>
      <c r="E30" s="6" t="s">
        <v>201</v>
      </c>
      <c r="F30" s="15" t="s">
        <v>1060</v>
      </c>
      <c r="G30" s="15"/>
      <c r="H30" s="15"/>
      <c r="I30" s="15"/>
      <c r="J30" s="15"/>
      <c r="K30" s="15"/>
      <c r="L30" s="6" t="s">
        <v>163</v>
      </c>
      <c r="M30" s="8" t="s">
        <v>1030</v>
      </c>
    </row>
    <row r="31" customFormat="false" ht="41.75" hidden="false" customHeight="false" outlineLevel="0" collapsed="false">
      <c r="A31" s="8" t="s">
        <v>68</v>
      </c>
      <c r="B31" s="8" t="s">
        <v>45</v>
      </c>
      <c r="C31" s="31" t="n">
        <f aca="false">INDEX(Index!$W$2:$W$25,MATCH(A31,Index!$C$2:$C$25,0))</f>
        <v>88.5</v>
      </c>
      <c r="D31" s="8" t="s">
        <v>1024</v>
      </c>
      <c r="E31" s="6" t="s">
        <v>207</v>
      </c>
      <c r="F31" s="15" t="s">
        <v>1061</v>
      </c>
      <c r="G31" s="15"/>
      <c r="H31" s="15"/>
      <c r="I31" s="15"/>
      <c r="J31" s="15"/>
      <c r="K31" s="15"/>
      <c r="L31" s="6" t="s">
        <v>166</v>
      </c>
      <c r="M31" s="8" t="s">
        <v>1030</v>
      </c>
    </row>
    <row r="32" customFormat="false" ht="41.75" hidden="false" customHeight="false" outlineLevel="0" collapsed="false">
      <c r="A32" s="8" t="s">
        <v>73</v>
      </c>
      <c r="B32" s="8" t="s">
        <v>45</v>
      </c>
      <c r="C32" s="31" t="n">
        <f aca="false">INDEX(Index!$W$2:$W$25,MATCH(A32,Index!$C$2:$C$25,0))</f>
        <v>87.2</v>
      </c>
      <c r="D32" s="8" t="s">
        <v>1027</v>
      </c>
      <c r="E32" s="6" t="s">
        <v>1028</v>
      </c>
      <c r="F32" s="15" t="s">
        <v>1062</v>
      </c>
      <c r="G32" s="15"/>
      <c r="H32" s="15"/>
      <c r="I32" s="15"/>
      <c r="J32" s="15"/>
      <c r="K32" s="15"/>
      <c r="L32" s="6" t="s">
        <v>166</v>
      </c>
      <c r="M32" s="8" t="s">
        <v>1030</v>
      </c>
    </row>
    <row r="33" customFormat="false" ht="41.75" hidden="false" customHeight="false" outlineLevel="0" collapsed="false">
      <c r="A33" s="8" t="s">
        <v>73</v>
      </c>
      <c r="B33" s="8" t="s">
        <v>45</v>
      </c>
      <c r="C33" s="31" t="n">
        <f aca="false">INDEX(Index!$W$2:$W$25,MATCH(A33,Index!$C$2:$C$25,0))</f>
        <v>87.2</v>
      </c>
      <c r="D33" s="8" t="s">
        <v>1027</v>
      </c>
      <c r="E33" s="6" t="s">
        <v>1031</v>
      </c>
      <c r="F33" s="15" t="s">
        <v>1063</v>
      </c>
      <c r="G33" s="15"/>
      <c r="H33" s="15"/>
      <c r="I33" s="15"/>
      <c r="J33" s="15"/>
      <c r="K33" s="15"/>
      <c r="L33" s="6" t="s">
        <v>166</v>
      </c>
      <c r="M33" s="8" t="s">
        <v>1030</v>
      </c>
    </row>
    <row r="34" customFormat="false" ht="41.75" hidden="false" customHeight="false" outlineLevel="0" collapsed="false">
      <c r="A34" s="8" t="s">
        <v>73</v>
      </c>
      <c r="B34" s="8" t="s">
        <v>45</v>
      </c>
      <c r="C34" s="31" t="n">
        <f aca="false">INDEX(Index!$W$2:$W$25,MATCH(A34,Index!$C$2:$C$25,0))</f>
        <v>87.2</v>
      </c>
      <c r="D34" s="8" t="s">
        <v>1027</v>
      </c>
      <c r="E34" s="6" t="s">
        <v>1033</v>
      </c>
      <c r="F34" s="15" t="s">
        <v>1064</v>
      </c>
      <c r="G34" s="15"/>
      <c r="H34" s="15"/>
      <c r="I34" s="15"/>
      <c r="J34" s="15"/>
      <c r="K34" s="15"/>
      <c r="L34" s="6" t="s">
        <v>166</v>
      </c>
      <c r="M34" s="8" t="s">
        <v>1030</v>
      </c>
    </row>
    <row r="35" customFormat="false" ht="41.75" hidden="false" customHeight="false" outlineLevel="0" collapsed="false">
      <c r="A35" s="8" t="s">
        <v>73</v>
      </c>
      <c r="B35" s="8" t="s">
        <v>45</v>
      </c>
      <c r="C35" s="31" t="n">
        <f aca="false">INDEX(Index!$W$2:$W$25,MATCH(A35,Index!$C$2:$C$25,0))</f>
        <v>87.2</v>
      </c>
      <c r="D35" s="8" t="s">
        <v>1024</v>
      </c>
      <c r="E35" s="6" t="s">
        <v>196</v>
      </c>
      <c r="F35" s="15" t="s">
        <v>1065</v>
      </c>
      <c r="G35" s="15"/>
      <c r="H35" s="15"/>
      <c r="I35" s="15"/>
      <c r="J35" s="15"/>
      <c r="K35" s="15"/>
      <c r="L35" s="6" t="s">
        <v>166</v>
      </c>
      <c r="M35" s="8" t="s">
        <v>1030</v>
      </c>
    </row>
    <row r="36" customFormat="false" ht="41.75" hidden="false" customHeight="false" outlineLevel="0" collapsed="false">
      <c r="A36" s="8" t="s">
        <v>73</v>
      </c>
      <c r="B36" s="8" t="s">
        <v>45</v>
      </c>
      <c r="C36" s="31" t="n">
        <f aca="false">INDEX(Index!$W$2:$W$25,MATCH(A36,Index!$C$2:$C$25,0))</f>
        <v>87.2</v>
      </c>
      <c r="D36" s="8" t="s">
        <v>1024</v>
      </c>
      <c r="E36" s="6" t="s">
        <v>201</v>
      </c>
      <c r="F36" s="15" t="s">
        <v>1066</v>
      </c>
      <c r="G36" s="15"/>
      <c r="H36" s="15"/>
      <c r="I36" s="15"/>
      <c r="J36" s="15"/>
      <c r="K36" s="15"/>
      <c r="L36" s="6" t="s">
        <v>163</v>
      </c>
      <c r="M36" s="8" t="s">
        <v>1030</v>
      </c>
    </row>
    <row r="37" customFormat="false" ht="41.75" hidden="false" customHeight="false" outlineLevel="0" collapsed="false">
      <c r="A37" s="8" t="s">
        <v>73</v>
      </c>
      <c r="B37" s="8" t="s">
        <v>45</v>
      </c>
      <c r="C37" s="31" t="n">
        <f aca="false">INDEX(Index!$W$2:$W$25,MATCH(A37,Index!$C$2:$C$25,0))</f>
        <v>87.2</v>
      </c>
      <c r="D37" s="8" t="s">
        <v>1024</v>
      </c>
      <c r="E37" s="6" t="s">
        <v>207</v>
      </c>
      <c r="F37" s="15" t="s">
        <v>1067</v>
      </c>
      <c r="G37" s="15"/>
      <c r="H37" s="15"/>
      <c r="I37" s="15"/>
      <c r="J37" s="15"/>
      <c r="K37" s="15"/>
      <c r="L37" s="6" t="s">
        <v>169</v>
      </c>
      <c r="M37" s="8" t="s">
        <v>1030</v>
      </c>
    </row>
    <row r="38" customFormat="false" ht="28.35" hidden="false" customHeight="false" outlineLevel="0" collapsed="false">
      <c r="A38" s="8" t="s">
        <v>77</v>
      </c>
      <c r="B38" s="8" t="s">
        <v>45</v>
      </c>
      <c r="C38" s="31" t="n">
        <f aca="false">INDEX(Index!$W$2:$W$25,MATCH(A38,Index!$C$2:$C$25,0))</f>
        <v>86.8</v>
      </c>
      <c r="D38" s="8" t="s">
        <v>1027</v>
      </c>
      <c r="E38" s="6" t="s">
        <v>1028</v>
      </c>
      <c r="F38" s="15" t="s">
        <v>1068</v>
      </c>
      <c r="G38" s="15"/>
      <c r="H38" s="15"/>
      <c r="I38" s="15"/>
      <c r="J38" s="15"/>
      <c r="K38" s="15"/>
      <c r="L38" s="6" t="s">
        <v>166</v>
      </c>
      <c r="M38" s="8" t="s">
        <v>1030</v>
      </c>
    </row>
    <row r="39" customFormat="false" ht="28.35" hidden="false" customHeight="false" outlineLevel="0" collapsed="false">
      <c r="A39" s="8" t="s">
        <v>77</v>
      </c>
      <c r="B39" s="8" t="s">
        <v>45</v>
      </c>
      <c r="C39" s="31" t="n">
        <f aca="false">INDEX(Index!$W$2:$W$25,MATCH(A39,Index!$C$2:$C$25,0))</f>
        <v>86.8</v>
      </c>
      <c r="D39" s="8" t="s">
        <v>1027</v>
      </c>
      <c r="E39" s="6" t="s">
        <v>1031</v>
      </c>
      <c r="F39" s="15" t="s">
        <v>1069</v>
      </c>
      <c r="G39" s="15"/>
      <c r="H39" s="15"/>
      <c r="I39" s="15"/>
      <c r="J39" s="15"/>
      <c r="K39" s="15"/>
      <c r="L39" s="6" t="s">
        <v>166</v>
      </c>
      <c r="M39" s="8" t="s">
        <v>1030</v>
      </c>
    </row>
    <row r="40" customFormat="false" ht="41.75" hidden="false" customHeight="false" outlineLevel="0" collapsed="false">
      <c r="A40" s="8" t="s">
        <v>77</v>
      </c>
      <c r="B40" s="8" t="s">
        <v>45</v>
      </c>
      <c r="C40" s="31" t="n">
        <f aca="false">INDEX(Index!$W$2:$W$25,MATCH(A40,Index!$C$2:$C$25,0))</f>
        <v>86.8</v>
      </c>
      <c r="D40" s="8" t="s">
        <v>1027</v>
      </c>
      <c r="E40" s="6" t="s">
        <v>1033</v>
      </c>
      <c r="F40" s="15" t="s">
        <v>1070</v>
      </c>
      <c r="G40" s="15"/>
      <c r="H40" s="15"/>
      <c r="I40" s="15"/>
      <c r="J40" s="15"/>
      <c r="K40" s="15"/>
      <c r="L40" s="6" t="s">
        <v>175</v>
      </c>
      <c r="M40" s="8" t="s">
        <v>1030</v>
      </c>
    </row>
    <row r="41" customFormat="false" ht="41.75" hidden="false" customHeight="false" outlineLevel="0" collapsed="false">
      <c r="A41" s="8" t="s">
        <v>77</v>
      </c>
      <c r="B41" s="8" t="s">
        <v>45</v>
      </c>
      <c r="C41" s="31" t="n">
        <f aca="false">INDEX(Index!$W$2:$W$25,MATCH(A41,Index!$C$2:$C$25,0))</f>
        <v>86.8</v>
      </c>
      <c r="D41" s="8" t="s">
        <v>1024</v>
      </c>
      <c r="E41" s="6" t="s">
        <v>196</v>
      </c>
      <c r="F41" s="15" t="s">
        <v>1071</v>
      </c>
      <c r="G41" s="15"/>
      <c r="H41" s="15"/>
      <c r="I41" s="15"/>
      <c r="J41" s="15"/>
      <c r="K41" s="15"/>
      <c r="L41" s="6" t="s">
        <v>166</v>
      </c>
      <c r="M41" s="8" t="s">
        <v>1030</v>
      </c>
    </row>
    <row r="42" customFormat="false" ht="41.75" hidden="false" customHeight="false" outlineLevel="0" collapsed="false">
      <c r="A42" s="8" t="s">
        <v>77</v>
      </c>
      <c r="B42" s="8" t="s">
        <v>45</v>
      </c>
      <c r="C42" s="31" t="n">
        <f aca="false">INDEX(Index!$W$2:$W$25,MATCH(A42,Index!$C$2:$C$25,0))</f>
        <v>86.8</v>
      </c>
      <c r="D42" s="8" t="s">
        <v>1024</v>
      </c>
      <c r="E42" s="6" t="s">
        <v>201</v>
      </c>
      <c r="F42" s="15" t="s">
        <v>1072</v>
      </c>
      <c r="G42" s="15"/>
      <c r="H42" s="15"/>
      <c r="I42" s="15"/>
      <c r="J42" s="15"/>
      <c r="K42" s="15"/>
      <c r="L42" s="6" t="s">
        <v>166</v>
      </c>
      <c r="M42" s="8" t="s">
        <v>1030</v>
      </c>
    </row>
    <row r="43" customFormat="false" ht="28.35" hidden="false" customHeight="false" outlineLevel="0" collapsed="false">
      <c r="A43" s="8" t="s">
        <v>77</v>
      </c>
      <c r="B43" s="8" t="s">
        <v>45</v>
      </c>
      <c r="C43" s="31" t="n">
        <f aca="false">INDEX(Index!$W$2:$W$25,MATCH(A43,Index!$C$2:$C$25,0))</f>
        <v>86.8</v>
      </c>
      <c r="D43" s="8" t="s">
        <v>1024</v>
      </c>
      <c r="E43" s="6" t="s">
        <v>207</v>
      </c>
      <c r="F43" s="15" t="s">
        <v>1073</v>
      </c>
      <c r="G43" s="15"/>
      <c r="H43" s="15"/>
      <c r="I43" s="15"/>
      <c r="J43" s="15"/>
      <c r="K43" s="15"/>
      <c r="L43" s="6" t="s">
        <v>166</v>
      </c>
      <c r="M43" s="8" t="s">
        <v>1030</v>
      </c>
    </row>
    <row r="44" customFormat="false" ht="28.35" hidden="false" customHeight="false" outlineLevel="0" collapsed="false">
      <c r="A44" s="8" t="s">
        <v>81</v>
      </c>
      <c r="B44" s="8" t="s">
        <v>45</v>
      </c>
      <c r="C44" s="31" t="n">
        <f aca="false">INDEX(Index!$W$2:$W$25,MATCH(A44,Index!$C$2:$C$25,0))</f>
        <v>85.3</v>
      </c>
      <c r="D44" s="8" t="s">
        <v>1027</v>
      </c>
      <c r="E44" s="6" t="s">
        <v>1028</v>
      </c>
      <c r="F44" s="15" t="s">
        <v>1074</v>
      </c>
      <c r="G44" s="15"/>
      <c r="H44" s="15"/>
      <c r="I44" s="15"/>
      <c r="J44" s="15"/>
      <c r="K44" s="15"/>
      <c r="L44" s="6" t="s">
        <v>166</v>
      </c>
      <c r="M44" s="8" t="s">
        <v>1030</v>
      </c>
    </row>
    <row r="45" customFormat="false" ht="28.35" hidden="false" customHeight="false" outlineLevel="0" collapsed="false">
      <c r="A45" s="8" t="s">
        <v>81</v>
      </c>
      <c r="B45" s="8" t="s">
        <v>45</v>
      </c>
      <c r="C45" s="31" t="n">
        <f aca="false">INDEX(Index!$W$2:$W$25,MATCH(A45,Index!$C$2:$C$25,0))</f>
        <v>85.3</v>
      </c>
      <c r="D45" s="8" t="s">
        <v>1027</v>
      </c>
      <c r="E45" s="6" t="s">
        <v>1031</v>
      </c>
      <c r="F45" s="15" t="s">
        <v>1075</v>
      </c>
      <c r="G45" s="15"/>
      <c r="H45" s="15"/>
      <c r="I45" s="15"/>
      <c r="J45" s="15"/>
      <c r="K45" s="15"/>
      <c r="L45" s="6" t="s">
        <v>169</v>
      </c>
      <c r="M45" s="8" t="s">
        <v>1030</v>
      </c>
    </row>
    <row r="46" customFormat="false" ht="28.35" hidden="false" customHeight="false" outlineLevel="0" collapsed="false">
      <c r="A46" s="8" t="s">
        <v>81</v>
      </c>
      <c r="B46" s="8" t="s">
        <v>45</v>
      </c>
      <c r="C46" s="31" t="n">
        <f aca="false">INDEX(Index!$W$2:$W$25,MATCH(A46,Index!$C$2:$C$25,0))</f>
        <v>85.3</v>
      </c>
      <c r="D46" s="8" t="s">
        <v>1027</v>
      </c>
      <c r="E46" s="6" t="s">
        <v>1033</v>
      </c>
      <c r="F46" s="15" t="s">
        <v>1076</v>
      </c>
      <c r="G46" s="15"/>
      <c r="H46" s="15"/>
      <c r="I46" s="15"/>
      <c r="J46" s="15"/>
      <c r="K46" s="15"/>
      <c r="L46" s="6" t="s">
        <v>163</v>
      </c>
      <c r="M46" s="8" t="s">
        <v>1030</v>
      </c>
    </row>
    <row r="47" customFormat="false" ht="28.35" hidden="false" customHeight="false" outlineLevel="0" collapsed="false">
      <c r="A47" s="8" t="s">
        <v>81</v>
      </c>
      <c r="B47" s="8" t="s">
        <v>45</v>
      </c>
      <c r="C47" s="31" t="n">
        <f aca="false">INDEX(Index!$W$2:$W$25,MATCH(A47,Index!$C$2:$C$25,0))</f>
        <v>85.3</v>
      </c>
      <c r="D47" s="8" t="s">
        <v>1024</v>
      </c>
      <c r="E47" s="6" t="s">
        <v>196</v>
      </c>
      <c r="F47" s="15" t="s">
        <v>1077</v>
      </c>
      <c r="G47" s="15"/>
      <c r="H47" s="15"/>
      <c r="I47" s="15"/>
      <c r="J47" s="15"/>
      <c r="K47" s="15"/>
      <c r="L47" s="6" t="s">
        <v>166</v>
      </c>
      <c r="M47" s="8" t="s">
        <v>1030</v>
      </c>
    </row>
    <row r="48" customFormat="false" ht="41.75" hidden="false" customHeight="false" outlineLevel="0" collapsed="false">
      <c r="A48" s="8" t="s">
        <v>81</v>
      </c>
      <c r="B48" s="8" t="s">
        <v>45</v>
      </c>
      <c r="C48" s="31" t="n">
        <f aca="false">INDEX(Index!$W$2:$W$25,MATCH(A48,Index!$C$2:$C$25,0))</f>
        <v>85.3</v>
      </c>
      <c r="D48" s="8" t="s">
        <v>1024</v>
      </c>
      <c r="E48" s="6" t="s">
        <v>201</v>
      </c>
      <c r="F48" s="15" t="s">
        <v>1078</v>
      </c>
      <c r="G48" s="15"/>
      <c r="H48" s="15"/>
      <c r="I48" s="15"/>
      <c r="J48" s="15"/>
      <c r="K48" s="15"/>
      <c r="L48" s="6" t="s">
        <v>163</v>
      </c>
      <c r="M48" s="8" t="s">
        <v>1030</v>
      </c>
    </row>
    <row r="49" customFormat="false" ht="28.35" hidden="false" customHeight="false" outlineLevel="0" collapsed="false">
      <c r="A49" s="8" t="s">
        <v>81</v>
      </c>
      <c r="B49" s="8" t="s">
        <v>45</v>
      </c>
      <c r="C49" s="31" t="n">
        <f aca="false">INDEX(Index!$W$2:$W$25,MATCH(A49,Index!$C$2:$C$25,0))</f>
        <v>85.3</v>
      </c>
      <c r="D49" s="8" t="s">
        <v>1024</v>
      </c>
      <c r="E49" s="6" t="s">
        <v>207</v>
      </c>
      <c r="F49" s="15" t="s">
        <v>1079</v>
      </c>
      <c r="G49" s="15"/>
      <c r="H49" s="15"/>
      <c r="I49" s="15"/>
      <c r="J49" s="15"/>
      <c r="K49" s="15"/>
      <c r="L49" s="6" t="s">
        <v>166</v>
      </c>
      <c r="M49" s="8" t="s">
        <v>1030</v>
      </c>
    </row>
    <row r="50" customFormat="false" ht="28.35" hidden="false" customHeight="false" outlineLevel="0" collapsed="false">
      <c r="A50" s="8" t="s">
        <v>85</v>
      </c>
      <c r="B50" s="8" t="s">
        <v>45</v>
      </c>
      <c r="C50" s="31" t="n">
        <f aca="false">INDEX(Index!$W$2:$W$25,MATCH(A50,Index!$C$2:$C$25,0))</f>
        <v>81.7</v>
      </c>
      <c r="D50" s="8" t="s">
        <v>1027</v>
      </c>
      <c r="E50" s="6" t="s">
        <v>1028</v>
      </c>
      <c r="F50" s="15" t="s">
        <v>1080</v>
      </c>
      <c r="G50" s="15"/>
      <c r="H50" s="15"/>
      <c r="I50" s="15"/>
      <c r="J50" s="15"/>
      <c r="K50" s="15"/>
      <c r="L50" s="6" t="s">
        <v>166</v>
      </c>
      <c r="M50" s="8" t="s">
        <v>1030</v>
      </c>
    </row>
    <row r="51" customFormat="false" ht="28.35" hidden="false" customHeight="false" outlineLevel="0" collapsed="false">
      <c r="A51" s="8" t="s">
        <v>85</v>
      </c>
      <c r="B51" s="8" t="s">
        <v>45</v>
      </c>
      <c r="C51" s="31" t="n">
        <f aca="false">INDEX(Index!$W$2:$W$25,MATCH(A51,Index!$C$2:$C$25,0))</f>
        <v>81.7</v>
      </c>
      <c r="D51" s="8" t="s">
        <v>1027</v>
      </c>
      <c r="E51" s="6" t="s">
        <v>1031</v>
      </c>
      <c r="F51" s="15" t="s">
        <v>1081</v>
      </c>
      <c r="G51" s="15"/>
      <c r="H51" s="15"/>
      <c r="I51" s="15"/>
      <c r="J51" s="15"/>
      <c r="K51" s="15"/>
      <c r="L51" s="6" t="s">
        <v>166</v>
      </c>
      <c r="M51" s="8" t="s">
        <v>1030</v>
      </c>
    </row>
    <row r="52" customFormat="false" ht="28.35" hidden="false" customHeight="false" outlineLevel="0" collapsed="false">
      <c r="A52" s="8" t="s">
        <v>85</v>
      </c>
      <c r="B52" s="8" t="s">
        <v>45</v>
      </c>
      <c r="C52" s="31" t="n">
        <f aca="false">INDEX(Index!$W$2:$W$25,MATCH(A52,Index!$C$2:$C$25,0))</f>
        <v>81.7</v>
      </c>
      <c r="D52" s="8" t="s">
        <v>1027</v>
      </c>
      <c r="E52" s="6" t="s">
        <v>1033</v>
      </c>
      <c r="F52" s="15" t="s">
        <v>1082</v>
      </c>
      <c r="G52" s="15"/>
      <c r="H52" s="15"/>
      <c r="I52" s="15"/>
      <c r="J52" s="15"/>
      <c r="K52" s="15"/>
      <c r="L52" s="6" t="s">
        <v>169</v>
      </c>
      <c r="M52" s="8" t="s">
        <v>1030</v>
      </c>
    </row>
    <row r="53" customFormat="false" ht="41.75" hidden="false" customHeight="false" outlineLevel="0" collapsed="false">
      <c r="A53" s="8" t="s">
        <v>85</v>
      </c>
      <c r="B53" s="8" t="s">
        <v>45</v>
      </c>
      <c r="C53" s="31" t="n">
        <f aca="false">INDEX(Index!$W$2:$W$25,MATCH(A53,Index!$C$2:$C$25,0))</f>
        <v>81.7</v>
      </c>
      <c r="D53" s="8" t="s">
        <v>1024</v>
      </c>
      <c r="E53" s="6" t="s">
        <v>196</v>
      </c>
      <c r="F53" s="15" t="s">
        <v>1083</v>
      </c>
      <c r="G53" s="15"/>
      <c r="H53" s="15"/>
      <c r="I53" s="15"/>
      <c r="J53" s="15"/>
      <c r="K53" s="15"/>
      <c r="L53" s="6" t="s">
        <v>163</v>
      </c>
      <c r="M53" s="8" t="s">
        <v>1030</v>
      </c>
    </row>
    <row r="54" customFormat="false" ht="28.35" hidden="false" customHeight="false" outlineLevel="0" collapsed="false">
      <c r="A54" s="8" t="s">
        <v>85</v>
      </c>
      <c r="B54" s="8" t="s">
        <v>45</v>
      </c>
      <c r="C54" s="31" t="n">
        <f aca="false">INDEX(Index!$W$2:$W$25,MATCH(A54,Index!$C$2:$C$25,0))</f>
        <v>81.7</v>
      </c>
      <c r="D54" s="8" t="s">
        <v>1024</v>
      </c>
      <c r="E54" s="6" t="s">
        <v>201</v>
      </c>
      <c r="F54" s="15" t="s">
        <v>1084</v>
      </c>
      <c r="G54" s="15"/>
      <c r="H54" s="15"/>
      <c r="I54" s="15"/>
      <c r="J54" s="15"/>
      <c r="K54" s="15"/>
      <c r="L54" s="6" t="s">
        <v>166</v>
      </c>
      <c r="M54" s="8" t="s">
        <v>1030</v>
      </c>
    </row>
    <row r="55" customFormat="false" ht="41.75" hidden="false" customHeight="false" outlineLevel="0" collapsed="false">
      <c r="A55" s="8" t="s">
        <v>85</v>
      </c>
      <c r="B55" s="8" t="s">
        <v>45</v>
      </c>
      <c r="C55" s="31" t="n">
        <f aca="false">INDEX(Index!$W$2:$W$25,MATCH(A55,Index!$C$2:$C$25,0))</f>
        <v>81.7</v>
      </c>
      <c r="D55" s="8" t="s">
        <v>1024</v>
      </c>
      <c r="E55" s="6" t="s">
        <v>207</v>
      </c>
      <c r="F55" s="15" t="s">
        <v>1085</v>
      </c>
      <c r="G55" s="15"/>
      <c r="H55" s="15"/>
      <c r="I55" s="15"/>
      <c r="J55" s="15"/>
      <c r="K55" s="15"/>
      <c r="L55" s="6" t="s">
        <v>169</v>
      </c>
      <c r="M55" s="8" t="s">
        <v>1030</v>
      </c>
    </row>
    <row r="56" customFormat="false" ht="41.75" hidden="false" customHeight="false" outlineLevel="0" collapsed="false">
      <c r="A56" s="8" t="s">
        <v>89</v>
      </c>
      <c r="B56" s="8" t="s">
        <v>45</v>
      </c>
      <c r="C56" s="31" t="n">
        <f aca="false">INDEX(Index!$W$2:$W$25,MATCH(A56,Index!$C$2:$C$25,0))</f>
        <v>81.4</v>
      </c>
      <c r="D56" s="8" t="s">
        <v>1027</v>
      </c>
      <c r="E56" s="6" t="s">
        <v>1028</v>
      </c>
      <c r="F56" s="15" t="s">
        <v>1086</v>
      </c>
      <c r="G56" s="15"/>
      <c r="H56" s="15"/>
      <c r="I56" s="15"/>
      <c r="J56" s="15"/>
      <c r="K56" s="15"/>
      <c r="L56" s="6" t="s">
        <v>166</v>
      </c>
      <c r="M56" s="8" t="s">
        <v>1030</v>
      </c>
    </row>
    <row r="57" customFormat="false" ht="28.35" hidden="false" customHeight="false" outlineLevel="0" collapsed="false">
      <c r="A57" s="8" t="s">
        <v>89</v>
      </c>
      <c r="B57" s="8" t="s">
        <v>45</v>
      </c>
      <c r="C57" s="31" t="n">
        <f aca="false">INDEX(Index!$W$2:$W$25,MATCH(A57,Index!$C$2:$C$25,0))</f>
        <v>81.4</v>
      </c>
      <c r="D57" s="8" t="s">
        <v>1027</v>
      </c>
      <c r="E57" s="6" t="s">
        <v>1031</v>
      </c>
      <c r="F57" s="15" t="s">
        <v>1087</v>
      </c>
      <c r="G57" s="15"/>
      <c r="H57" s="15"/>
      <c r="I57" s="15"/>
      <c r="J57" s="15"/>
      <c r="K57" s="15"/>
      <c r="L57" s="6" t="s">
        <v>166</v>
      </c>
      <c r="M57" s="8" t="s">
        <v>1030</v>
      </c>
    </row>
    <row r="58" customFormat="false" ht="28.35" hidden="false" customHeight="false" outlineLevel="0" collapsed="false">
      <c r="A58" s="8" t="s">
        <v>89</v>
      </c>
      <c r="B58" s="8" t="s">
        <v>45</v>
      </c>
      <c r="C58" s="31" t="n">
        <f aca="false">INDEX(Index!$W$2:$W$25,MATCH(A58,Index!$C$2:$C$25,0))</f>
        <v>81.4</v>
      </c>
      <c r="D58" s="8" t="s">
        <v>1027</v>
      </c>
      <c r="E58" s="6" t="s">
        <v>1033</v>
      </c>
      <c r="F58" s="15" t="s">
        <v>1088</v>
      </c>
      <c r="G58" s="15"/>
      <c r="H58" s="15"/>
      <c r="I58" s="15"/>
      <c r="J58" s="15"/>
      <c r="K58" s="15"/>
      <c r="L58" s="6" t="s">
        <v>172</v>
      </c>
      <c r="M58" s="8" t="s">
        <v>1030</v>
      </c>
    </row>
    <row r="59" customFormat="false" ht="55.2" hidden="false" customHeight="false" outlineLevel="0" collapsed="false">
      <c r="A59" s="8" t="s">
        <v>89</v>
      </c>
      <c r="B59" s="8" t="s">
        <v>45</v>
      </c>
      <c r="C59" s="31" t="n">
        <f aca="false">INDEX(Index!$W$2:$W$25,MATCH(A59,Index!$C$2:$C$25,0))</f>
        <v>81.4</v>
      </c>
      <c r="D59" s="8" t="s">
        <v>1024</v>
      </c>
      <c r="E59" s="6" t="s">
        <v>196</v>
      </c>
      <c r="F59" s="15" t="s">
        <v>1089</v>
      </c>
      <c r="G59" s="15"/>
      <c r="H59" s="15"/>
      <c r="I59" s="15"/>
      <c r="J59" s="15"/>
      <c r="K59" s="15"/>
      <c r="L59" s="6" t="s">
        <v>163</v>
      </c>
      <c r="M59" s="8" t="s">
        <v>1030</v>
      </c>
    </row>
    <row r="60" customFormat="false" ht="55.2" hidden="false" customHeight="false" outlineLevel="0" collapsed="false">
      <c r="A60" s="8" t="s">
        <v>89</v>
      </c>
      <c r="B60" s="8" t="s">
        <v>45</v>
      </c>
      <c r="C60" s="31" t="n">
        <f aca="false">INDEX(Index!$W$2:$W$25,MATCH(A60,Index!$C$2:$C$25,0))</f>
        <v>81.4</v>
      </c>
      <c r="D60" s="8" t="s">
        <v>1024</v>
      </c>
      <c r="E60" s="6" t="s">
        <v>201</v>
      </c>
      <c r="F60" s="15" t="s">
        <v>1090</v>
      </c>
      <c r="G60" s="15"/>
      <c r="H60" s="15"/>
      <c r="I60" s="15"/>
      <c r="J60" s="15"/>
      <c r="K60" s="15"/>
      <c r="L60" s="6" t="s">
        <v>163</v>
      </c>
      <c r="M60" s="8" t="s">
        <v>1030</v>
      </c>
    </row>
    <row r="61" customFormat="false" ht="55.2" hidden="false" customHeight="false" outlineLevel="0" collapsed="false">
      <c r="A61" s="8" t="s">
        <v>89</v>
      </c>
      <c r="B61" s="8" t="s">
        <v>45</v>
      </c>
      <c r="C61" s="31" t="n">
        <f aca="false">INDEX(Index!$W$2:$W$25,MATCH(A61,Index!$C$2:$C$25,0))</f>
        <v>81.4</v>
      </c>
      <c r="D61" s="8" t="s">
        <v>1024</v>
      </c>
      <c r="E61" s="6" t="s">
        <v>207</v>
      </c>
      <c r="F61" s="15" t="s">
        <v>1091</v>
      </c>
      <c r="G61" s="15"/>
      <c r="H61" s="15"/>
      <c r="I61" s="15"/>
      <c r="J61" s="15"/>
      <c r="K61" s="15"/>
      <c r="L61" s="6" t="s">
        <v>175</v>
      </c>
      <c r="M61" s="8" t="s">
        <v>1030</v>
      </c>
    </row>
    <row r="62" customFormat="false" ht="41.75" hidden="false" customHeight="false" outlineLevel="0" collapsed="false">
      <c r="A62" s="8" t="s">
        <v>94</v>
      </c>
      <c r="B62" s="8" t="s">
        <v>45</v>
      </c>
      <c r="C62" s="31" t="n">
        <f aca="false">INDEX(Index!$W$2:$W$25,MATCH(A62,Index!$C$2:$C$25,0))</f>
        <v>80.8</v>
      </c>
      <c r="D62" s="8" t="s">
        <v>1027</v>
      </c>
      <c r="E62" s="6" t="s">
        <v>1028</v>
      </c>
      <c r="F62" s="15" t="s">
        <v>1092</v>
      </c>
      <c r="G62" s="15"/>
      <c r="H62" s="15"/>
      <c r="I62" s="15"/>
      <c r="J62" s="15"/>
      <c r="K62" s="15"/>
      <c r="L62" s="6" t="s">
        <v>163</v>
      </c>
      <c r="M62" s="8" t="s">
        <v>1030</v>
      </c>
    </row>
    <row r="63" customFormat="false" ht="28.35" hidden="false" customHeight="false" outlineLevel="0" collapsed="false">
      <c r="A63" s="8" t="s">
        <v>94</v>
      </c>
      <c r="B63" s="8" t="s">
        <v>45</v>
      </c>
      <c r="C63" s="31" t="n">
        <f aca="false">INDEX(Index!$W$2:$W$25,MATCH(A63,Index!$C$2:$C$25,0))</f>
        <v>80.8</v>
      </c>
      <c r="D63" s="8" t="s">
        <v>1027</v>
      </c>
      <c r="E63" s="6" t="s">
        <v>1031</v>
      </c>
      <c r="F63" s="15" t="s">
        <v>1093</v>
      </c>
      <c r="G63" s="15"/>
      <c r="H63" s="15"/>
      <c r="I63" s="15"/>
      <c r="J63" s="15"/>
      <c r="K63" s="15"/>
      <c r="L63" s="6" t="s">
        <v>169</v>
      </c>
      <c r="M63" s="8" t="s">
        <v>1030</v>
      </c>
    </row>
    <row r="64" customFormat="false" ht="41.75" hidden="false" customHeight="false" outlineLevel="0" collapsed="false">
      <c r="A64" s="8" t="s">
        <v>94</v>
      </c>
      <c r="B64" s="8" t="s">
        <v>45</v>
      </c>
      <c r="C64" s="31" t="n">
        <f aca="false">INDEX(Index!$W$2:$W$25,MATCH(A64,Index!$C$2:$C$25,0))</f>
        <v>80.8</v>
      </c>
      <c r="D64" s="8" t="s">
        <v>1027</v>
      </c>
      <c r="E64" s="6" t="s">
        <v>1033</v>
      </c>
      <c r="F64" s="15" t="s">
        <v>1094</v>
      </c>
      <c r="G64" s="15"/>
      <c r="H64" s="15"/>
      <c r="I64" s="15"/>
      <c r="J64" s="15"/>
      <c r="K64" s="15"/>
      <c r="L64" s="6" t="s">
        <v>166</v>
      </c>
      <c r="M64" s="8" t="s">
        <v>1030</v>
      </c>
    </row>
    <row r="65" customFormat="false" ht="41.75" hidden="false" customHeight="false" outlineLevel="0" collapsed="false">
      <c r="A65" s="8" t="s">
        <v>94</v>
      </c>
      <c r="B65" s="8" t="s">
        <v>45</v>
      </c>
      <c r="C65" s="31" t="n">
        <f aca="false">INDEX(Index!$W$2:$W$25,MATCH(A65,Index!$C$2:$C$25,0))</f>
        <v>80.8</v>
      </c>
      <c r="D65" s="8" t="s">
        <v>1024</v>
      </c>
      <c r="E65" s="6" t="s">
        <v>196</v>
      </c>
      <c r="F65" s="15" t="s">
        <v>1095</v>
      </c>
      <c r="G65" s="15"/>
      <c r="H65" s="15"/>
      <c r="I65" s="15"/>
      <c r="J65" s="15"/>
      <c r="K65" s="15"/>
      <c r="L65" s="6" t="s">
        <v>169</v>
      </c>
      <c r="M65" s="8" t="s">
        <v>1030</v>
      </c>
    </row>
    <row r="66" customFormat="false" ht="41.75" hidden="false" customHeight="false" outlineLevel="0" collapsed="false">
      <c r="A66" s="8" t="s">
        <v>94</v>
      </c>
      <c r="B66" s="8" t="s">
        <v>45</v>
      </c>
      <c r="C66" s="31" t="n">
        <f aca="false">INDEX(Index!$W$2:$W$25,MATCH(A66,Index!$C$2:$C$25,0))</f>
        <v>80.8</v>
      </c>
      <c r="D66" s="8" t="s">
        <v>1024</v>
      </c>
      <c r="E66" s="6" t="s">
        <v>201</v>
      </c>
      <c r="F66" s="15" t="s">
        <v>1096</v>
      </c>
      <c r="G66" s="15"/>
      <c r="H66" s="15"/>
      <c r="I66" s="15"/>
      <c r="J66" s="15"/>
      <c r="K66" s="15"/>
      <c r="L66" s="6" t="s">
        <v>166</v>
      </c>
      <c r="M66" s="8" t="s">
        <v>1030</v>
      </c>
    </row>
    <row r="67" customFormat="false" ht="41.75" hidden="false" customHeight="false" outlineLevel="0" collapsed="false">
      <c r="A67" s="8" t="s">
        <v>94</v>
      </c>
      <c r="B67" s="8" t="s">
        <v>45</v>
      </c>
      <c r="C67" s="31" t="n">
        <f aca="false">INDEX(Index!$W$2:$W$25,MATCH(A67,Index!$C$2:$C$25,0))</f>
        <v>80.8</v>
      </c>
      <c r="D67" s="8" t="s">
        <v>1024</v>
      </c>
      <c r="E67" s="6" t="s">
        <v>207</v>
      </c>
      <c r="F67" s="15" t="s">
        <v>1097</v>
      </c>
      <c r="G67" s="15"/>
      <c r="H67" s="15"/>
      <c r="I67" s="15"/>
      <c r="J67" s="15"/>
      <c r="K67" s="15"/>
      <c r="L67" s="6" t="s">
        <v>175</v>
      </c>
      <c r="M67" s="8" t="s">
        <v>1030</v>
      </c>
    </row>
    <row r="68" customFormat="false" ht="28.35" hidden="false" customHeight="false" outlineLevel="0" collapsed="false">
      <c r="A68" s="8" t="s">
        <v>98</v>
      </c>
      <c r="B68" s="8" t="s">
        <v>45</v>
      </c>
      <c r="C68" s="31" t="n">
        <f aca="false">INDEX(Index!$W$2:$W$25,MATCH(A68,Index!$C$2:$C$25,0))</f>
        <v>76.4</v>
      </c>
      <c r="D68" s="8" t="s">
        <v>1027</v>
      </c>
      <c r="E68" s="6" t="s">
        <v>1028</v>
      </c>
      <c r="F68" s="15" t="s">
        <v>1098</v>
      </c>
      <c r="G68" s="15"/>
      <c r="H68" s="15"/>
      <c r="I68" s="15"/>
      <c r="J68" s="15"/>
      <c r="K68" s="15"/>
      <c r="L68" s="6" t="s">
        <v>166</v>
      </c>
      <c r="M68" s="8" t="s">
        <v>1030</v>
      </c>
    </row>
    <row r="69" customFormat="false" ht="28.35" hidden="false" customHeight="false" outlineLevel="0" collapsed="false">
      <c r="A69" s="8" t="s">
        <v>98</v>
      </c>
      <c r="B69" s="8" t="s">
        <v>45</v>
      </c>
      <c r="C69" s="31" t="n">
        <f aca="false">INDEX(Index!$W$2:$W$25,MATCH(A69,Index!$C$2:$C$25,0))</f>
        <v>76.4</v>
      </c>
      <c r="D69" s="8" t="s">
        <v>1027</v>
      </c>
      <c r="E69" s="6" t="s">
        <v>1031</v>
      </c>
      <c r="F69" s="15" t="s">
        <v>1099</v>
      </c>
      <c r="G69" s="15"/>
      <c r="H69" s="15"/>
      <c r="I69" s="15"/>
      <c r="J69" s="15"/>
      <c r="K69" s="15"/>
      <c r="L69" s="6" t="s">
        <v>175</v>
      </c>
      <c r="M69" s="8" t="s">
        <v>1030</v>
      </c>
    </row>
    <row r="70" customFormat="false" ht="28.35" hidden="false" customHeight="false" outlineLevel="0" collapsed="false">
      <c r="A70" s="8" t="s">
        <v>98</v>
      </c>
      <c r="B70" s="8" t="s">
        <v>45</v>
      </c>
      <c r="C70" s="31" t="n">
        <f aca="false">INDEX(Index!$W$2:$W$25,MATCH(A70,Index!$C$2:$C$25,0))</f>
        <v>76.4</v>
      </c>
      <c r="D70" s="8" t="s">
        <v>1027</v>
      </c>
      <c r="E70" s="6" t="s">
        <v>1033</v>
      </c>
      <c r="F70" s="15" t="s">
        <v>1100</v>
      </c>
      <c r="G70" s="15"/>
      <c r="H70" s="15"/>
      <c r="I70" s="15"/>
      <c r="J70" s="15"/>
      <c r="K70" s="15"/>
      <c r="L70" s="6" t="s">
        <v>166</v>
      </c>
      <c r="M70" s="8" t="s">
        <v>1030</v>
      </c>
    </row>
    <row r="71" customFormat="false" ht="41.75" hidden="false" customHeight="false" outlineLevel="0" collapsed="false">
      <c r="A71" s="8" t="s">
        <v>98</v>
      </c>
      <c r="B71" s="8" t="s">
        <v>45</v>
      </c>
      <c r="C71" s="31" t="n">
        <f aca="false">INDEX(Index!$W$2:$W$25,MATCH(A71,Index!$C$2:$C$25,0))</f>
        <v>76.4</v>
      </c>
      <c r="D71" s="8" t="s">
        <v>1024</v>
      </c>
      <c r="E71" s="6" t="s">
        <v>196</v>
      </c>
      <c r="F71" s="15" t="s">
        <v>1101</v>
      </c>
      <c r="G71" s="15"/>
      <c r="H71" s="15"/>
      <c r="I71" s="15"/>
      <c r="J71" s="15"/>
      <c r="K71" s="15"/>
      <c r="L71" s="6" t="s">
        <v>163</v>
      </c>
      <c r="M71" s="8" t="s">
        <v>1030</v>
      </c>
    </row>
    <row r="72" customFormat="false" ht="28.35" hidden="false" customHeight="false" outlineLevel="0" collapsed="false">
      <c r="A72" s="8" t="s">
        <v>98</v>
      </c>
      <c r="B72" s="8" t="s">
        <v>45</v>
      </c>
      <c r="C72" s="31" t="n">
        <f aca="false">INDEX(Index!$W$2:$W$25,MATCH(A72,Index!$C$2:$C$25,0))</f>
        <v>76.4</v>
      </c>
      <c r="D72" s="8" t="s">
        <v>1024</v>
      </c>
      <c r="E72" s="6" t="s">
        <v>201</v>
      </c>
      <c r="F72" s="15" t="s">
        <v>1102</v>
      </c>
      <c r="G72" s="15"/>
      <c r="H72" s="15"/>
      <c r="I72" s="15"/>
      <c r="J72" s="15"/>
      <c r="K72" s="15"/>
      <c r="L72" s="6" t="s">
        <v>166</v>
      </c>
      <c r="M72" s="8" t="s">
        <v>1030</v>
      </c>
    </row>
    <row r="73" customFormat="false" ht="41.75" hidden="false" customHeight="false" outlineLevel="0" collapsed="false">
      <c r="A73" s="8" t="s">
        <v>98</v>
      </c>
      <c r="B73" s="8" t="s">
        <v>45</v>
      </c>
      <c r="C73" s="31" t="n">
        <f aca="false">INDEX(Index!$W$2:$W$25,MATCH(A73,Index!$C$2:$C$25,0))</f>
        <v>76.4</v>
      </c>
      <c r="D73" s="8" t="s">
        <v>1024</v>
      </c>
      <c r="E73" s="6" t="s">
        <v>207</v>
      </c>
      <c r="F73" s="15" t="s">
        <v>1103</v>
      </c>
      <c r="G73" s="15"/>
      <c r="H73" s="15"/>
      <c r="I73" s="15"/>
      <c r="J73" s="15"/>
      <c r="K73" s="15"/>
      <c r="L73" s="6" t="s">
        <v>166</v>
      </c>
      <c r="M73" s="8" t="s">
        <v>1030</v>
      </c>
    </row>
    <row r="74" customFormat="false" ht="41.75" hidden="false" customHeight="false" outlineLevel="0" collapsed="false">
      <c r="A74" s="8" t="s">
        <v>103</v>
      </c>
      <c r="B74" s="8" t="s">
        <v>45</v>
      </c>
      <c r="C74" s="31" t="n">
        <f aca="false">INDEX(Index!$W$2:$W$25,MATCH(A74,Index!$C$2:$C$25,0))</f>
        <v>75.6</v>
      </c>
      <c r="D74" s="8" t="s">
        <v>1027</v>
      </c>
      <c r="E74" s="6" t="s">
        <v>1028</v>
      </c>
      <c r="F74" s="15" t="s">
        <v>1104</v>
      </c>
      <c r="G74" s="15"/>
      <c r="H74" s="15"/>
      <c r="I74" s="15"/>
      <c r="J74" s="15"/>
      <c r="K74" s="15"/>
      <c r="L74" s="6" t="s">
        <v>166</v>
      </c>
      <c r="M74" s="8" t="s">
        <v>1030</v>
      </c>
    </row>
    <row r="75" customFormat="false" ht="28.35" hidden="false" customHeight="false" outlineLevel="0" collapsed="false">
      <c r="A75" s="8" t="s">
        <v>103</v>
      </c>
      <c r="B75" s="8" t="s">
        <v>45</v>
      </c>
      <c r="C75" s="31" t="n">
        <f aca="false">INDEX(Index!$W$2:$W$25,MATCH(A75,Index!$C$2:$C$25,0))</f>
        <v>75.6</v>
      </c>
      <c r="D75" s="8" t="s">
        <v>1027</v>
      </c>
      <c r="E75" s="6" t="s">
        <v>1031</v>
      </c>
      <c r="F75" s="15" t="s">
        <v>1105</v>
      </c>
      <c r="G75" s="15"/>
      <c r="H75" s="15"/>
      <c r="I75" s="15"/>
      <c r="J75" s="15"/>
      <c r="K75" s="15"/>
      <c r="L75" s="6" t="s">
        <v>172</v>
      </c>
      <c r="M75" s="8" t="s">
        <v>1030</v>
      </c>
    </row>
    <row r="76" customFormat="false" ht="28.35" hidden="false" customHeight="false" outlineLevel="0" collapsed="false">
      <c r="A76" s="8" t="s">
        <v>103</v>
      </c>
      <c r="B76" s="8" t="s">
        <v>45</v>
      </c>
      <c r="C76" s="31" t="n">
        <f aca="false">INDEX(Index!$W$2:$W$25,MATCH(A76,Index!$C$2:$C$25,0))</f>
        <v>75.6</v>
      </c>
      <c r="D76" s="8" t="s">
        <v>1027</v>
      </c>
      <c r="E76" s="6" t="s">
        <v>1033</v>
      </c>
      <c r="F76" s="15" t="s">
        <v>1106</v>
      </c>
      <c r="G76" s="15"/>
      <c r="H76" s="15"/>
      <c r="I76" s="15"/>
      <c r="J76" s="15"/>
      <c r="K76" s="15"/>
      <c r="L76" s="6" t="s">
        <v>169</v>
      </c>
      <c r="M76" s="8" t="s">
        <v>1030</v>
      </c>
    </row>
    <row r="77" customFormat="false" ht="28.35" hidden="false" customHeight="false" outlineLevel="0" collapsed="false">
      <c r="A77" s="8" t="s">
        <v>103</v>
      </c>
      <c r="B77" s="8" t="s">
        <v>45</v>
      </c>
      <c r="C77" s="31" t="n">
        <f aca="false">INDEX(Index!$W$2:$W$25,MATCH(A77,Index!$C$2:$C$25,0))</f>
        <v>75.6</v>
      </c>
      <c r="D77" s="8" t="s">
        <v>1024</v>
      </c>
      <c r="E77" s="6" t="s">
        <v>196</v>
      </c>
      <c r="F77" s="15" t="s">
        <v>1107</v>
      </c>
      <c r="G77" s="15"/>
      <c r="H77" s="15"/>
      <c r="I77" s="15"/>
      <c r="J77" s="15"/>
      <c r="K77" s="15"/>
      <c r="L77" s="6" t="s">
        <v>166</v>
      </c>
      <c r="M77" s="8" t="s">
        <v>1030</v>
      </c>
    </row>
    <row r="78" customFormat="false" ht="28.35" hidden="false" customHeight="false" outlineLevel="0" collapsed="false">
      <c r="A78" s="8" t="s">
        <v>103</v>
      </c>
      <c r="B78" s="8" t="s">
        <v>45</v>
      </c>
      <c r="C78" s="31" t="n">
        <f aca="false">INDEX(Index!$W$2:$W$25,MATCH(A78,Index!$C$2:$C$25,0))</f>
        <v>75.6</v>
      </c>
      <c r="D78" s="8" t="s">
        <v>1024</v>
      </c>
      <c r="E78" s="6" t="s">
        <v>201</v>
      </c>
      <c r="F78" s="15" t="s">
        <v>1108</v>
      </c>
      <c r="G78" s="15"/>
      <c r="H78" s="15"/>
      <c r="I78" s="15"/>
      <c r="J78" s="15"/>
      <c r="K78" s="15"/>
      <c r="L78" s="6" t="s">
        <v>166</v>
      </c>
      <c r="M78" s="8" t="s">
        <v>1030</v>
      </c>
    </row>
    <row r="79" customFormat="false" ht="41.75" hidden="false" customHeight="false" outlineLevel="0" collapsed="false">
      <c r="A79" s="8" t="s">
        <v>103</v>
      </c>
      <c r="B79" s="8" t="s">
        <v>45</v>
      </c>
      <c r="C79" s="31" t="n">
        <f aca="false">INDEX(Index!$W$2:$W$25,MATCH(A79,Index!$C$2:$C$25,0))</f>
        <v>75.6</v>
      </c>
      <c r="D79" s="8" t="s">
        <v>1024</v>
      </c>
      <c r="E79" s="6" t="s">
        <v>207</v>
      </c>
      <c r="F79" s="15" t="s">
        <v>1109</v>
      </c>
      <c r="G79" s="15"/>
      <c r="H79" s="15"/>
      <c r="I79" s="15"/>
      <c r="J79" s="15"/>
      <c r="K79" s="15"/>
      <c r="L79" s="6" t="s">
        <v>163</v>
      </c>
      <c r="M79" s="8" t="s">
        <v>1030</v>
      </c>
    </row>
    <row r="80" customFormat="false" ht="28.35" hidden="false" customHeight="false" outlineLevel="0" collapsed="false">
      <c r="A80" s="8" t="s">
        <v>107</v>
      </c>
      <c r="B80" s="8" t="s">
        <v>45</v>
      </c>
      <c r="C80" s="31" t="n">
        <f aca="false">INDEX(Index!$W$2:$W$25,MATCH(A80,Index!$C$2:$C$25,0))</f>
        <v>74.2</v>
      </c>
      <c r="D80" s="8" t="s">
        <v>1027</v>
      </c>
      <c r="E80" s="6" t="s">
        <v>1028</v>
      </c>
      <c r="F80" s="15" t="s">
        <v>1110</v>
      </c>
      <c r="G80" s="15"/>
      <c r="H80" s="15"/>
      <c r="I80" s="15"/>
      <c r="J80" s="15"/>
      <c r="K80" s="15"/>
      <c r="L80" s="6" t="s">
        <v>166</v>
      </c>
      <c r="M80" s="8" t="s">
        <v>1030</v>
      </c>
    </row>
    <row r="81" customFormat="false" ht="28.35" hidden="false" customHeight="false" outlineLevel="0" collapsed="false">
      <c r="A81" s="8" t="s">
        <v>107</v>
      </c>
      <c r="B81" s="8" t="s">
        <v>45</v>
      </c>
      <c r="C81" s="31" t="n">
        <f aca="false">INDEX(Index!$W$2:$W$25,MATCH(A81,Index!$C$2:$C$25,0))</f>
        <v>74.2</v>
      </c>
      <c r="D81" s="8" t="s">
        <v>1027</v>
      </c>
      <c r="E81" s="6" t="s">
        <v>1031</v>
      </c>
      <c r="F81" s="15" t="s">
        <v>1111</v>
      </c>
      <c r="G81" s="15"/>
      <c r="H81" s="15"/>
      <c r="I81" s="15"/>
      <c r="J81" s="15"/>
      <c r="K81" s="15"/>
      <c r="L81" s="6" t="s">
        <v>166</v>
      </c>
      <c r="M81" s="8" t="s">
        <v>1030</v>
      </c>
    </row>
    <row r="82" customFormat="false" ht="28.35" hidden="false" customHeight="false" outlineLevel="0" collapsed="false">
      <c r="A82" s="8" t="s">
        <v>107</v>
      </c>
      <c r="B82" s="8" t="s">
        <v>45</v>
      </c>
      <c r="C82" s="31" t="n">
        <f aca="false">INDEX(Index!$W$2:$W$25,MATCH(A82,Index!$C$2:$C$25,0))</f>
        <v>74.2</v>
      </c>
      <c r="D82" s="8" t="s">
        <v>1027</v>
      </c>
      <c r="E82" s="6" t="s">
        <v>1033</v>
      </c>
      <c r="F82" s="15" t="s">
        <v>1112</v>
      </c>
      <c r="G82" s="15"/>
      <c r="H82" s="15"/>
      <c r="I82" s="15"/>
      <c r="J82" s="15"/>
      <c r="K82" s="15"/>
      <c r="L82" s="6" t="s">
        <v>172</v>
      </c>
      <c r="M82" s="8" t="s">
        <v>1030</v>
      </c>
    </row>
    <row r="83" customFormat="false" ht="41.75" hidden="false" customHeight="false" outlineLevel="0" collapsed="false">
      <c r="A83" s="8" t="s">
        <v>107</v>
      </c>
      <c r="B83" s="8" t="s">
        <v>45</v>
      </c>
      <c r="C83" s="31" t="n">
        <f aca="false">INDEX(Index!$W$2:$W$25,MATCH(A83,Index!$C$2:$C$25,0))</f>
        <v>74.2</v>
      </c>
      <c r="D83" s="8" t="s">
        <v>1024</v>
      </c>
      <c r="E83" s="6" t="s">
        <v>196</v>
      </c>
      <c r="F83" s="15" t="s">
        <v>1113</v>
      </c>
      <c r="G83" s="15"/>
      <c r="H83" s="15"/>
      <c r="I83" s="15"/>
      <c r="J83" s="15"/>
      <c r="K83" s="15"/>
      <c r="L83" s="6" t="s">
        <v>163</v>
      </c>
      <c r="M83" s="8" t="s">
        <v>1030</v>
      </c>
    </row>
    <row r="84" customFormat="false" ht="28.35" hidden="false" customHeight="false" outlineLevel="0" collapsed="false">
      <c r="A84" s="8" t="s">
        <v>107</v>
      </c>
      <c r="B84" s="8" t="s">
        <v>45</v>
      </c>
      <c r="C84" s="31" t="n">
        <f aca="false">INDEX(Index!$W$2:$W$25,MATCH(A84,Index!$C$2:$C$25,0))</f>
        <v>74.2</v>
      </c>
      <c r="D84" s="8" t="s">
        <v>1024</v>
      </c>
      <c r="E84" s="6" t="s">
        <v>201</v>
      </c>
      <c r="F84" s="15" t="s">
        <v>1114</v>
      </c>
      <c r="G84" s="15"/>
      <c r="H84" s="15"/>
      <c r="I84" s="15"/>
      <c r="J84" s="15"/>
      <c r="K84" s="15"/>
      <c r="L84" s="6" t="s">
        <v>166</v>
      </c>
      <c r="M84" s="8" t="s">
        <v>1030</v>
      </c>
    </row>
    <row r="85" customFormat="false" ht="41.75" hidden="false" customHeight="false" outlineLevel="0" collapsed="false">
      <c r="A85" s="8" t="s">
        <v>107</v>
      </c>
      <c r="B85" s="8" t="s">
        <v>45</v>
      </c>
      <c r="C85" s="31" t="n">
        <f aca="false">INDEX(Index!$W$2:$W$25,MATCH(A85,Index!$C$2:$C$25,0))</f>
        <v>74.2</v>
      </c>
      <c r="D85" s="8" t="s">
        <v>1024</v>
      </c>
      <c r="E85" s="6" t="s">
        <v>207</v>
      </c>
      <c r="F85" s="15" t="s">
        <v>1115</v>
      </c>
      <c r="G85" s="15"/>
      <c r="H85" s="15"/>
      <c r="I85" s="15"/>
      <c r="J85" s="15"/>
      <c r="K85" s="15"/>
      <c r="L85" s="6" t="s">
        <v>169</v>
      </c>
      <c r="M85" s="8" t="s">
        <v>1030</v>
      </c>
    </row>
    <row r="86" customFormat="false" ht="41.75" hidden="false" customHeight="false" outlineLevel="0" collapsed="false">
      <c r="A86" s="8" t="s">
        <v>112</v>
      </c>
      <c r="B86" s="8" t="s">
        <v>45</v>
      </c>
      <c r="C86" s="31" t="n">
        <f aca="false">INDEX(Index!$W$2:$W$25,MATCH(A86,Index!$C$2:$C$25,0))</f>
        <v>71.1</v>
      </c>
      <c r="D86" s="8" t="s">
        <v>1027</v>
      </c>
      <c r="E86" s="6" t="s">
        <v>1028</v>
      </c>
      <c r="F86" s="15" t="s">
        <v>1116</v>
      </c>
      <c r="G86" s="15"/>
      <c r="H86" s="15"/>
      <c r="I86" s="15"/>
      <c r="J86" s="15"/>
      <c r="K86" s="15"/>
      <c r="L86" s="6" t="s">
        <v>166</v>
      </c>
      <c r="M86" s="8" t="s">
        <v>1030</v>
      </c>
    </row>
    <row r="87" customFormat="false" ht="41.75" hidden="false" customHeight="false" outlineLevel="0" collapsed="false">
      <c r="A87" s="8" t="s">
        <v>112</v>
      </c>
      <c r="B87" s="8" t="s">
        <v>45</v>
      </c>
      <c r="C87" s="31" t="n">
        <f aca="false">INDEX(Index!$W$2:$W$25,MATCH(A87,Index!$C$2:$C$25,0))</f>
        <v>71.1</v>
      </c>
      <c r="D87" s="8" t="s">
        <v>1027</v>
      </c>
      <c r="E87" s="6" t="s">
        <v>1031</v>
      </c>
      <c r="F87" s="15" t="s">
        <v>1117</v>
      </c>
      <c r="G87" s="15"/>
      <c r="H87" s="15"/>
      <c r="I87" s="15"/>
      <c r="J87" s="15"/>
      <c r="K87" s="15"/>
      <c r="L87" s="6" t="s">
        <v>169</v>
      </c>
      <c r="M87" s="8" t="s">
        <v>1030</v>
      </c>
    </row>
    <row r="88" customFormat="false" ht="28.35" hidden="false" customHeight="false" outlineLevel="0" collapsed="false">
      <c r="A88" s="8" t="s">
        <v>112</v>
      </c>
      <c r="B88" s="8" t="s">
        <v>45</v>
      </c>
      <c r="C88" s="31" t="n">
        <f aca="false">INDEX(Index!$W$2:$W$25,MATCH(A88,Index!$C$2:$C$25,0))</f>
        <v>71.1</v>
      </c>
      <c r="D88" s="8" t="s">
        <v>1027</v>
      </c>
      <c r="E88" s="6" t="s">
        <v>1033</v>
      </c>
      <c r="F88" s="15" t="s">
        <v>1118</v>
      </c>
      <c r="G88" s="15"/>
      <c r="H88" s="15"/>
      <c r="I88" s="15"/>
      <c r="J88" s="15"/>
      <c r="K88" s="15"/>
      <c r="L88" s="6" t="s">
        <v>166</v>
      </c>
      <c r="M88" s="8" t="s">
        <v>1030</v>
      </c>
    </row>
    <row r="89" customFormat="false" ht="41.75" hidden="false" customHeight="false" outlineLevel="0" collapsed="false">
      <c r="A89" s="8" t="s">
        <v>112</v>
      </c>
      <c r="B89" s="8" t="s">
        <v>45</v>
      </c>
      <c r="C89" s="31" t="n">
        <f aca="false">INDEX(Index!$W$2:$W$25,MATCH(A89,Index!$C$2:$C$25,0))</f>
        <v>71.1</v>
      </c>
      <c r="D89" s="8" t="s">
        <v>1024</v>
      </c>
      <c r="E89" s="6" t="s">
        <v>196</v>
      </c>
      <c r="F89" s="15" t="s">
        <v>1119</v>
      </c>
      <c r="G89" s="15"/>
      <c r="H89" s="15"/>
      <c r="I89" s="15"/>
      <c r="J89" s="15"/>
      <c r="K89" s="15"/>
      <c r="L89" s="6" t="s">
        <v>163</v>
      </c>
      <c r="M89" s="8" t="s">
        <v>1030</v>
      </c>
    </row>
    <row r="90" customFormat="false" ht="55.2" hidden="false" customHeight="false" outlineLevel="0" collapsed="false">
      <c r="A90" s="8" t="s">
        <v>112</v>
      </c>
      <c r="B90" s="8" t="s">
        <v>45</v>
      </c>
      <c r="C90" s="31" t="n">
        <f aca="false">INDEX(Index!$W$2:$W$25,MATCH(A90,Index!$C$2:$C$25,0))</f>
        <v>71.1</v>
      </c>
      <c r="D90" s="8" t="s">
        <v>1024</v>
      </c>
      <c r="E90" s="6" t="s">
        <v>201</v>
      </c>
      <c r="F90" s="15" t="s">
        <v>1120</v>
      </c>
      <c r="G90" s="15"/>
      <c r="H90" s="15"/>
      <c r="I90" s="15"/>
      <c r="J90" s="15"/>
      <c r="K90" s="15"/>
      <c r="L90" s="6" t="s">
        <v>163</v>
      </c>
      <c r="M90" s="8" t="s">
        <v>1030</v>
      </c>
    </row>
    <row r="91" customFormat="false" ht="55.2" hidden="false" customHeight="false" outlineLevel="0" collapsed="false">
      <c r="A91" s="8" t="s">
        <v>112</v>
      </c>
      <c r="B91" s="8" t="s">
        <v>45</v>
      </c>
      <c r="C91" s="31" t="n">
        <f aca="false">INDEX(Index!$W$2:$W$25,MATCH(A91,Index!$C$2:$C$25,0))</f>
        <v>71.1</v>
      </c>
      <c r="D91" s="8" t="s">
        <v>1024</v>
      </c>
      <c r="E91" s="6" t="s">
        <v>207</v>
      </c>
      <c r="F91" s="15" t="s">
        <v>1121</v>
      </c>
      <c r="G91" s="15"/>
      <c r="H91" s="15"/>
      <c r="I91" s="15"/>
      <c r="J91" s="15"/>
      <c r="K91" s="15"/>
      <c r="L91" s="6" t="s">
        <v>172</v>
      </c>
      <c r="M91" s="8" t="s">
        <v>1030</v>
      </c>
    </row>
    <row r="92" customFormat="false" ht="41.75" hidden="false" customHeight="false" outlineLevel="0" collapsed="false">
      <c r="A92" s="8" t="s">
        <v>116</v>
      </c>
      <c r="B92" s="8" t="s">
        <v>45</v>
      </c>
      <c r="C92" s="31" t="n">
        <f aca="false">INDEX(Index!$W$2:$W$25,MATCH(A92,Index!$C$2:$C$25,0))</f>
        <v>64.8</v>
      </c>
      <c r="D92" s="8" t="s">
        <v>1027</v>
      </c>
      <c r="E92" s="6" t="s">
        <v>1028</v>
      </c>
      <c r="F92" s="15" t="s">
        <v>1122</v>
      </c>
      <c r="G92" s="15"/>
      <c r="H92" s="15"/>
      <c r="I92" s="15"/>
      <c r="J92" s="15"/>
      <c r="K92" s="15"/>
      <c r="L92" s="6" t="s">
        <v>163</v>
      </c>
      <c r="M92" s="8" t="s">
        <v>1030</v>
      </c>
    </row>
    <row r="93" customFormat="false" ht="41.75" hidden="false" customHeight="false" outlineLevel="0" collapsed="false">
      <c r="A93" s="8" t="s">
        <v>116</v>
      </c>
      <c r="B93" s="8" t="s">
        <v>45</v>
      </c>
      <c r="C93" s="31" t="n">
        <f aca="false">INDEX(Index!$W$2:$W$25,MATCH(A93,Index!$C$2:$C$25,0))</f>
        <v>64.8</v>
      </c>
      <c r="D93" s="8" t="s">
        <v>1027</v>
      </c>
      <c r="E93" s="6" t="s">
        <v>1031</v>
      </c>
      <c r="F93" s="15" t="s">
        <v>1123</v>
      </c>
      <c r="G93" s="15"/>
      <c r="H93" s="15"/>
      <c r="I93" s="15"/>
      <c r="J93" s="15"/>
      <c r="K93" s="15"/>
      <c r="L93" s="6" t="s">
        <v>169</v>
      </c>
      <c r="M93" s="8" t="s">
        <v>1030</v>
      </c>
    </row>
    <row r="94" customFormat="false" ht="28.35" hidden="false" customHeight="false" outlineLevel="0" collapsed="false">
      <c r="A94" s="8" t="s">
        <v>116</v>
      </c>
      <c r="B94" s="8" t="s">
        <v>45</v>
      </c>
      <c r="C94" s="31" t="n">
        <f aca="false">INDEX(Index!$W$2:$W$25,MATCH(A94,Index!$C$2:$C$25,0))</f>
        <v>64.8</v>
      </c>
      <c r="D94" s="8" t="s">
        <v>1027</v>
      </c>
      <c r="E94" s="6" t="s">
        <v>1033</v>
      </c>
      <c r="F94" s="15" t="s">
        <v>1124</v>
      </c>
      <c r="G94" s="15"/>
      <c r="H94" s="15"/>
      <c r="I94" s="15"/>
      <c r="J94" s="15"/>
      <c r="K94" s="15"/>
      <c r="L94" s="6" t="s">
        <v>175</v>
      </c>
      <c r="M94" s="8" t="s">
        <v>1030</v>
      </c>
    </row>
    <row r="95" customFormat="false" ht="55.2" hidden="false" customHeight="false" outlineLevel="0" collapsed="false">
      <c r="A95" s="8" t="s">
        <v>116</v>
      </c>
      <c r="B95" s="8" t="s">
        <v>45</v>
      </c>
      <c r="C95" s="31" t="n">
        <f aca="false">INDEX(Index!$W$2:$W$25,MATCH(A95,Index!$C$2:$C$25,0))</f>
        <v>64.8</v>
      </c>
      <c r="D95" s="8" t="s">
        <v>1024</v>
      </c>
      <c r="E95" s="6" t="s">
        <v>196</v>
      </c>
      <c r="F95" s="15" t="s">
        <v>1125</v>
      </c>
      <c r="G95" s="15"/>
      <c r="H95" s="15"/>
      <c r="I95" s="15"/>
      <c r="J95" s="15"/>
      <c r="K95" s="15"/>
      <c r="L95" s="6" t="s">
        <v>163</v>
      </c>
      <c r="M95" s="8" t="s">
        <v>1030</v>
      </c>
    </row>
    <row r="96" customFormat="false" ht="55.2" hidden="false" customHeight="false" outlineLevel="0" collapsed="false">
      <c r="A96" s="8" t="s">
        <v>116</v>
      </c>
      <c r="B96" s="8" t="s">
        <v>45</v>
      </c>
      <c r="C96" s="31" t="n">
        <f aca="false">INDEX(Index!$W$2:$W$25,MATCH(A96,Index!$C$2:$C$25,0))</f>
        <v>64.8</v>
      </c>
      <c r="D96" s="8" t="s">
        <v>1024</v>
      </c>
      <c r="E96" s="6" t="s">
        <v>201</v>
      </c>
      <c r="F96" s="15" t="s">
        <v>1126</v>
      </c>
      <c r="G96" s="15"/>
      <c r="H96" s="15"/>
      <c r="I96" s="15"/>
      <c r="J96" s="15"/>
      <c r="K96" s="15"/>
      <c r="L96" s="6" t="s">
        <v>166</v>
      </c>
      <c r="M96" s="8" t="s">
        <v>1030</v>
      </c>
    </row>
    <row r="97" customFormat="false" ht="55.2" hidden="false" customHeight="false" outlineLevel="0" collapsed="false">
      <c r="A97" s="8" t="s">
        <v>116</v>
      </c>
      <c r="B97" s="8" t="s">
        <v>45</v>
      </c>
      <c r="C97" s="31" t="n">
        <f aca="false">INDEX(Index!$W$2:$W$25,MATCH(A97,Index!$C$2:$C$25,0))</f>
        <v>64.8</v>
      </c>
      <c r="D97" s="8" t="s">
        <v>1024</v>
      </c>
      <c r="E97" s="6" t="s">
        <v>207</v>
      </c>
      <c r="F97" s="15" t="s">
        <v>1127</v>
      </c>
      <c r="G97" s="15"/>
      <c r="H97" s="15"/>
      <c r="I97" s="15"/>
      <c r="J97" s="15"/>
      <c r="K97" s="15"/>
      <c r="L97" s="6" t="s">
        <v>166</v>
      </c>
      <c r="M97" s="8" t="s">
        <v>1030</v>
      </c>
    </row>
    <row r="98" customFormat="false" ht="28.35" hidden="false" customHeight="false" outlineLevel="0" collapsed="false">
      <c r="A98" s="8" t="s">
        <v>119</v>
      </c>
      <c r="B98" s="8" t="s">
        <v>45</v>
      </c>
      <c r="C98" s="31" t="n">
        <f aca="false">INDEX(Index!$W$2:$W$25,MATCH(A98,Index!$C$2:$C$25,0))</f>
        <v>64.8</v>
      </c>
      <c r="D98" s="8" t="s">
        <v>1027</v>
      </c>
      <c r="E98" s="6" t="s">
        <v>1028</v>
      </c>
      <c r="F98" s="15" t="s">
        <v>1128</v>
      </c>
      <c r="G98" s="15"/>
      <c r="H98" s="15"/>
      <c r="I98" s="15"/>
      <c r="J98" s="15"/>
      <c r="K98" s="15"/>
      <c r="L98" s="6"/>
      <c r="M98" s="8" t="s">
        <v>1030</v>
      </c>
    </row>
    <row r="99" customFormat="false" ht="28.35" hidden="false" customHeight="false" outlineLevel="0" collapsed="false">
      <c r="A99" s="8" t="s">
        <v>119</v>
      </c>
      <c r="B99" s="8" t="s">
        <v>45</v>
      </c>
      <c r="C99" s="31" t="n">
        <f aca="false">INDEX(Index!$W$2:$W$25,MATCH(A99,Index!$C$2:$C$25,0))</f>
        <v>64.8</v>
      </c>
      <c r="D99" s="8" t="s">
        <v>1027</v>
      </c>
      <c r="E99" s="6" t="s">
        <v>1031</v>
      </c>
      <c r="F99" s="15" t="s">
        <v>1129</v>
      </c>
      <c r="G99" s="15"/>
      <c r="H99" s="15"/>
      <c r="I99" s="15"/>
      <c r="J99" s="15"/>
      <c r="K99" s="15"/>
      <c r="L99" s="6" t="s">
        <v>166</v>
      </c>
      <c r="M99" s="8" t="s">
        <v>1030</v>
      </c>
    </row>
    <row r="100" customFormat="false" ht="28.35" hidden="false" customHeight="false" outlineLevel="0" collapsed="false">
      <c r="A100" s="8" t="s">
        <v>119</v>
      </c>
      <c r="B100" s="8" t="s">
        <v>45</v>
      </c>
      <c r="C100" s="31" t="n">
        <f aca="false">INDEX(Index!$W$2:$W$25,MATCH(A100,Index!$C$2:$C$25,0))</f>
        <v>64.8</v>
      </c>
      <c r="D100" s="8" t="s">
        <v>1027</v>
      </c>
      <c r="E100" s="6" t="s">
        <v>1033</v>
      </c>
      <c r="F100" s="15" t="s">
        <v>1130</v>
      </c>
      <c r="G100" s="15"/>
      <c r="H100" s="15"/>
      <c r="I100" s="15"/>
      <c r="J100" s="15"/>
      <c r="K100" s="15"/>
      <c r="L100" s="6" t="s">
        <v>163</v>
      </c>
      <c r="M100" s="8" t="s">
        <v>1030</v>
      </c>
    </row>
    <row r="101" customFormat="false" ht="41.75" hidden="false" customHeight="false" outlineLevel="0" collapsed="false">
      <c r="A101" s="8" t="s">
        <v>119</v>
      </c>
      <c r="B101" s="8" t="s">
        <v>45</v>
      </c>
      <c r="C101" s="31" t="n">
        <f aca="false">INDEX(Index!$W$2:$W$25,MATCH(A101,Index!$C$2:$C$25,0))</f>
        <v>64.8</v>
      </c>
      <c r="D101" s="8" t="s">
        <v>1024</v>
      </c>
      <c r="E101" s="6" t="s">
        <v>196</v>
      </c>
      <c r="F101" s="15" t="s">
        <v>1131</v>
      </c>
      <c r="G101" s="15"/>
      <c r="H101" s="15"/>
      <c r="I101" s="15"/>
      <c r="J101" s="15"/>
      <c r="K101" s="15"/>
      <c r="L101" s="6" t="s">
        <v>163</v>
      </c>
      <c r="M101" s="8" t="s">
        <v>1030</v>
      </c>
    </row>
    <row r="102" customFormat="false" ht="28.35" hidden="false" customHeight="false" outlineLevel="0" collapsed="false">
      <c r="A102" s="8" t="s">
        <v>119</v>
      </c>
      <c r="B102" s="8" t="s">
        <v>45</v>
      </c>
      <c r="C102" s="31" t="n">
        <f aca="false">INDEX(Index!$W$2:$W$25,MATCH(A102,Index!$C$2:$C$25,0))</f>
        <v>64.8</v>
      </c>
      <c r="D102" s="8" t="s">
        <v>1024</v>
      </c>
      <c r="E102" s="6" t="s">
        <v>201</v>
      </c>
      <c r="F102" s="15" t="s">
        <v>1132</v>
      </c>
      <c r="G102" s="15"/>
      <c r="H102" s="15"/>
      <c r="I102" s="15"/>
      <c r="J102" s="15"/>
      <c r="K102" s="15"/>
      <c r="L102" s="6" t="s">
        <v>163</v>
      </c>
      <c r="M102" s="8" t="s">
        <v>1030</v>
      </c>
    </row>
    <row r="103" customFormat="false" ht="28.35" hidden="false" customHeight="false" outlineLevel="0" collapsed="false">
      <c r="A103" s="8" t="s">
        <v>119</v>
      </c>
      <c r="B103" s="8" t="s">
        <v>45</v>
      </c>
      <c r="C103" s="31" t="n">
        <f aca="false">INDEX(Index!$W$2:$W$25,MATCH(A103,Index!$C$2:$C$25,0))</f>
        <v>64.8</v>
      </c>
      <c r="D103" s="8" t="s">
        <v>1024</v>
      </c>
      <c r="E103" s="6" t="s">
        <v>207</v>
      </c>
      <c r="F103" s="15" t="s">
        <v>1133</v>
      </c>
      <c r="G103" s="15"/>
      <c r="H103" s="15"/>
      <c r="I103" s="15"/>
      <c r="J103" s="15"/>
      <c r="K103" s="15"/>
      <c r="L103" s="6" t="s">
        <v>172</v>
      </c>
      <c r="M103" s="8" t="s">
        <v>1030</v>
      </c>
    </row>
    <row r="104" customFormat="false" ht="28.35" hidden="false" customHeight="false" outlineLevel="0" collapsed="false">
      <c r="A104" s="8" t="s">
        <v>123</v>
      </c>
      <c r="B104" s="8" t="s">
        <v>45</v>
      </c>
      <c r="C104" s="31" t="n">
        <f aca="false">INDEX(Index!$W$2:$W$25,MATCH(A104,Index!$C$2:$C$25,0))</f>
        <v>63</v>
      </c>
      <c r="D104" s="8" t="s">
        <v>1027</v>
      </c>
      <c r="E104" s="6" t="s">
        <v>1028</v>
      </c>
      <c r="F104" s="15" t="s">
        <v>1134</v>
      </c>
      <c r="G104" s="15"/>
      <c r="H104" s="15"/>
      <c r="I104" s="15"/>
      <c r="J104" s="15"/>
      <c r="K104" s="15"/>
      <c r="L104" s="6" t="s">
        <v>163</v>
      </c>
      <c r="M104" s="8" t="s">
        <v>1030</v>
      </c>
    </row>
    <row r="105" customFormat="false" ht="28.35" hidden="false" customHeight="false" outlineLevel="0" collapsed="false">
      <c r="A105" s="8" t="s">
        <v>123</v>
      </c>
      <c r="B105" s="8" t="s">
        <v>45</v>
      </c>
      <c r="C105" s="31" t="n">
        <f aca="false">INDEX(Index!$W$2:$W$25,MATCH(A105,Index!$C$2:$C$25,0))</f>
        <v>63</v>
      </c>
      <c r="D105" s="8" t="s">
        <v>1027</v>
      </c>
      <c r="E105" s="6" t="s">
        <v>1031</v>
      </c>
      <c r="F105" s="15" t="s">
        <v>1135</v>
      </c>
      <c r="G105" s="15"/>
      <c r="H105" s="15"/>
      <c r="I105" s="15"/>
      <c r="J105" s="15"/>
      <c r="K105" s="15"/>
      <c r="L105" s="6" t="s">
        <v>172</v>
      </c>
      <c r="M105" s="8" t="s">
        <v>1030</v>
      </c>
    </row>
    <row r="106" customFormat="false" ht="28.35" hidden="false" customHeight="false" outlineLevel="0" collapsed="false">
      <c r="A106" s="8" t="s">
        <v>123</v>
      </c>
      <c r="B106" s="8" t="s">
        <v>45</v>
      </c>
      <c r="C106" s="31" t="n">
        <f aca="false">INDEX(Index!$W$2:$W$25,MATCH(A106,Index!$C$2:$C$25,0))</f>
        <v>63</v>
      </c>
      <c r="D106" s="8" t="s">
        <v>1027</v>
      </c>
      <c r="E106" s="6" t="s">
        <v>1033</v>
      </c>
      <c r="F106" s="15" t="s">
        <v>1136</v>
      </c>
      <c r="G106" s="15"/>
      <c r="H106" s="15"/>
      <c r="I106" s="15"/>
      <c r="J106" s="15"/>
      <c r="K106" s="15"/>
      <c r="L106" s="6" t="s">
        <v>175</v>
      </c>
      <c r="M106" s="8" t="s">
        <v>1030</v>
      </c>
    </row>
    <row r="107" customFormat="false" ht="41.75" hidden="false" customHeight="false" outlineLevel="0" collapsed="false">
      <c r="A107" s="8" t="s">
        <v>123</v>
      </c>
      <c r="B107" s="8" t="s">
        <v>45</v>
      </c>
      <c r="C107" s="31" t="n">
        <f aca="false">INDEX(Index!$W$2:$W$25,MATCH(A107,Index!$C$2:$C$25,0))</f>
        <v>63</v>
      </c>
      <c r="D107" s="8" t="s">
        <v>1024</v>
      </c>
      <c r="E107" s="6" t="s">
        <v>196</v>
      </c>
      <c r="F107" s="15" t="s">
        <v>1137</v>
      </c>
      <c r="G107" s="15"/>
      <c r="H107" s="15"/>
      <c r="I107" s="15"/>
      <c r="J107" s="15"/>
      <c r="K107" s="15"/>
      <c r="L107" s="6" t="s">
        <v>163</v>
      </c>
      <c r="M107" s="8" t="s">
        <v>1030</v>
      </c>
    </row>
    <row r="108" customFormat="false" ht="41.75" hidden="false" customHeight="false" outlineLevel="0" collapsed="false">
      <c r="A108" s="8" t="s">
        <v>123</v>
      </c>
      <c r="B108" s="8" t="s">
        <v>45</v>
      </c>
      <c r="C108" s="31" t="n">
        <f aca="false">INDEX(Index!$W$2:$W$25,MATCH(A108,Index!$C$2:$C$25,0))</f>
        <v>63</v>
      </c>
      <c r="D108" s="8" t="s">
        <v>1024</v>
      </c>
      <c r="E108" s="6" t="s">
        <v>201</v>
      </c>
      <c r="F108" s="15" t="s">
        <v>1138</v>
      </c>
      <c r="G108" s="15"/>
      <c r="H108" s="15"/>
      <c r="I108" s="15"/>
      <c r="J108" s="15"/>
      <c r="K108" s="15"/>
      <c r="L108" s="6" t="s">
        <v>163</v>
      </c>
      <c r="M108" s="8" t="s">
        <v>1030</v>
      </c>
    </row>
    <row r="109" customFormat="false" ht="41.75" hidden="false" customHeight="false" outlineLevel="0" collapsed="false">
      <c r="A109" s="8" t="s">
        <v>123</v>
      </c>
      <c r="B109" s="8" t="s">
        <v>45</v>
      </c>
      <c r="C109" s="31" t="n">
        <f aca="false">INDEX(Index!$W$2:$W$25,MATCH(A109,Index!$C$2:$C$25,0))</f>
        <v>63</v>
      </c>
      <c r="D109" s="8" t="s">
        <v>1024</v>
      </c>
      <c r="E109" s="6" t="s">
        <v>207</v>
      </c>
      <c r="F109" s="15" t="s">
        <v>1139</v>
      </c>
      <c r="G109" s="15"/>
      <c r="H109" s="15"/>
      <c r="I109" s="15"/>
      <c r="J109" s="15"/>
      <c r="K109" s="15"/>
      <c r="L109" s="6" t="s">
        <v>166</v>
      </c>
      <c r="M109" s="8" t="s">
        <v>1030</v>
      </c>
    </row>
    <row r="110" customFormat="false" ht="28.35" hidden="false" customHeight="false" outlineLevel="0" collapsed="false">
      <c r="A110" s="8" t="s">
        <v>126</v>
      </c>
      <c r="B110" s="8" t="s">
        <v>45</v>
      </c>
      <c r="C110" s="31" t="n">
        <f aca="false">INDEX(Index!$W$2:$W$25,MATCH(A110,Index!$C$2:$C$25,0))</f>
        <v>56.4</v>
      </c>
      <c r="D110" s="8" t="s">
        <v>1027</v>
      </c>
      <c r="E110" s="6" t="s">
        <v>1028</v>
      </c>
      <c r="F110" s="15" t="s">
        <v>1140</v>
      </c>
      <c r="G110" s="15"/>
      <c r="H110" s="15"/>
      <c r="I110" s="15"/>
      <c r="J110" s="15"/>
      <c r="K110" s="15"/>
      <c r="L110" s="6" t="s">
        <v>163</v>
      </c>
      <c r="M110" s="8" t="s">
        <v>1030</v>
      </c>
    </row>
    <row r="111" customFormat="false" ht="28.35" hidden="false" customHeight="false" outlineLevel="0" collapsed="false">
      <c r="A111" s="8" t="s">
        <v>126</v>
      </c>
      <c r="B111" s="8" t="s">
        <v>45</v>
      </c>
      <c r="C111" s="31" t="n">
        <f aca="false">INDEX(Index!$W$2:$W$25,MATCH(A111,Index!$C$2:$C$25,0))</f>
        <v>56.4</v>
      </c>
      <c r="D111" s="8" t="s">
        <v>1027</v>
      </c>
      <c r="E111" s="6" t="s">
        <v>1031</v>
      </c>
      <c r="F111" s="15" t="s">
        <v>1141</v>
      </c>
      <c r="G111" s="15"/>
      <c r="H111" s="15"/>
      <c r="I111" s="15"/>
      <c r="J111" s="15"/>
      <c r="K111" s="15"/>
      <c r="L111" s="6" t="s">
        <v>166</v>
      </c>
      <c r="M111" s="8" t="s">
        <v>1030</v>
      </c>
    </row>
    <row r="112" customFormat="false" ht="28.35" hidden="false" customHeight="false" outlineLevel="0" collapsed="false">
      <c r="A112" s="8" t="s">
        <v>126</v>
      </c>
      <c r="B112" s="8" t="s">
        <v>45</v>
      </c>
      <c r="C112" s="31" t="n">
        <f aca="false">INDEX(Index!$W$2:$W$25,MATCH(A112,Index!$C$2:$C$25,0))</f>
        <v>56.4</v>
      </c>
      <c r="D112" s="8" t="s">
        <v>1027</v>
      </c>
      <c r="E112" s="6" t="s">
        <v>1033</v>
      </c>
      <c r="F112" s="15" t="s">
        <v>1142</v>
      </c>
      <c r="G112" s="15"/>
      <c r="H112" s="15"/>
      <c r="I112" s="15"/>
      <c r="J112" s="15"/>
      <c r="K112" s="15"/>
      <c r="L112" s="6" t="s">
        <v>172</v>
      </c>
      <c r="M112" s="8" t="s">
        <v>1030</v>
      </c>
    </row>
    <row r="113" customFormat="false" ht="41.75" hidden="false" customHeight="false" outlineLevel="0" collapsed="false">
      <c r="A113" s="8" t="s">
        <v>126</v>
      </c>
      <c r="B113" s="8" t="s">
        <v>45</v>
      </c>
      <c r="C113" s="31" t="n">
        <f aca="false">INDEX(Index!$W$2:$W$25,MATCH(A113,Index!$C$2:$C$25,0))</f>
        <v>56.4</v>
      </c>
      <c r="D113" s="8" t="s">
        <v>1024</v>
      </c>
      <c r="E113" s="6" t="s">
        <v>196</v>
      </c>
      <c r="F113" s="15" t="s">
        <v>1143</v>
      </c>
      <c r="G113" s="15"/>
      <c r="H113" s="15"/>
      <c r="I113" s="15"/>
      <c r="J113" s="15"/>
      <c r="K113" s="15"/>
      <c r="L113" s="6" t="s">
        <v>166</v>
      </c>
      <c r="M113" s="8" t="s">
        <v>1030</v>
      </c>
    </row>
    <row r="114" customFormat="false" ht="41.75" hidden="false" customHeight="false" outlineLevel="0" collapsed="false">
      <c r="A114" s="8" t="s">
        <v>126</v>
      </c>
      <c r="B114" s="8" t="s">
        <v>45</v>
      </c>
      <c r="C114" s="31" t="n">
        <f aca="false">INDEX(Index!$W$2:$W$25,MATCH(A114,Index!$C$2:$C$25,0))</f>
        <v>56.4</v>
      </c>
      <c r="D114" s="8" t="s">
        <v>1024</v>
      </c>
      <c r="E114" s="6" t="s">
        <v>201</v>
      </c>
      <c r="F114" s="15" t="s">
        <v>1144</v>
      </c>
      <c r="G114" s="15"/>
      <c r="H114" s="15"/>
      <c r="I114" s="15"/>
      <c r="J114" s="15"/>
      <c r="K114" s="15"/>
      <c r="L114" s="6" t="s">
        <v>163</v>
      </c>
      <c r="M114" s="8" t="s">
        <v>1030</v>
      </c>
    </row>
    <row r="115" customFormat="false" ht="41.75" hidden="false" customHeight="false" outlineLevel="0" collapsed="false">
      <c r="A115" s="8" t="s">
        <v>126</v>
      </c>
      <c r="B115" s="8" t="s">
        <v>45</v>
      </c>
      <c r="C115" s="31" t="n">
        <f aca="false">INDEX(Index!$W$2:$W$25,MATCH(A115,Index!$C$2:$C$25,0))</f>
        <v>56.4</v>
      </c>
      <c r="D115" s="8" t="s">
        <v>1024</v>
      </c>
      <c r="E115" s="6" t="s">
        <v>207</v>
      </c>
      <c r="F115" s="15" t="s">
        <v>1145</v>
      </c>
      <c r="G115" s="15"/>
      <c r="H115" s="15"/>
      <c r="I115" s="15"/>
      <c r="J115" s="15"/>
      <c r="K115" s="15"/>
      <c r="L115" s="6" t="s">
        <v>172</v>
      </c>
      <c r="M115" s="8" t="s">
        <v>1030</v>
      </c>
    </row>
    <row r="116" customFormat="false" ht="41.75" hidden="false" customHeight="false" outlineLevel="0" collapsed="false">
      <c r="A116" s="8" t="s">
        <v>129</v>
      </c>
      <c r="B116" s="8" t="s">
        <v>45</v>
      </c>
      <c r="C116" s="31" t="n">
        <f aca="false">INDEX(Index!$W$2:$W$25,MATCH(A116,Index!$C$2:$C$25,0))</f>
        <v>54.4</v>
      </c>
      <c r="D116" s="8" t="s">
        <v>1027</v>
      </c>
      <c r="E116" s="6" t="s">
        <v>1028</v>
      </c>
      <c r="F116" s="15" t="s">
        <v>1146</v>
      </c>
      <c r="G116" s="15"/>
      <c r="H116" s="15"/>
      <c r="I116" s="15"/>
      <c r="J116" s="15"/>
      <c r="K116" s="15"/>
      <c r="L116" s="6" t="s">
        <v>169</v>
      </c>
      <c r="M116" s="8" t="s">
        <v>1030</v>
      </c>
    </row>
    <row r="117" customFormat="false" ht="41.75" hidden="false" customHeight="false" outlineLevel="0" collapsed="false">
      <c r="A117" s="8" t="s">
        <v>129</v>
      </c>
      <c r="B117" s="8" t="s">
        <v>45</v>
      </c>
      <c r="C117" s="31" t="n">
        <f aca="false">INDEX(Index!$W$2:$W$25,MATCH(A117,Index!$C$2:$C$25,0))</f>
        <v>54.4</v>
      </c>
      <c r="D117" s="8" t="s">
        <v>1027</v>
      </c>
      <c r="E117" s="6" t="s">
        <v>1031</v>
      </c>
      <c r="F117" s="15" t="s">
        <v>1147</v>
      </c>
      <c r="G117" s="15"/>
      <c r="H117" s="15"/>
      <c r="I117" s="15"/>
      <c r="J117" s="15"/>
      <c r="K117" s="15"/>
      <c r="L117" s="6" t="s">
        <v>172</v>
      </c>
      <c r="M117" s="8" t="s">
        <v>1030</v>
      </c>
    </row>
    <row r="118" customFormat="false" ht="41.75" hidden="false" customHeight="false" outlineLevel="0" collapsed="false">
      <c r="A118" s="8" t="s">
        <v>129</v>
      </c>
      <c r="B118" s="8" t="s">
        <v>45</v>
      </c>
      <c r="C118" s="31" t="n">
        <f aca="false">INDEX(Index!$W$2:$W$25,MATCH(A118,Index!$C$2:$C$25,0))</f>
        <v>54.4</v>
      </c>
      <c r="D118" s="8" t="s">
        <v>1027</v>
      </c>
      <c r="E118" s="6" t="s">
        <v>1033</v>
      </c>
      <c r="F118" s="15" t="s">
        <v>1148</v>
      </c>
      <c r="G118" s="15"/>
      <c r="H118" s="15"/>
      <c r="I118" s="15"/>
      <c r="J118" s="15"/>
      <c r="K118" s="15"/>
      <c r="L118" s="6" t="s">
        <v>163</v>
      </c>
      <c r="M118" s="8" t="s">
        <v>1030</v>
      </c>
    </row>
    <row r="119" customFormat="false" ht="68.65" hidden="false" customHeight="false" outlineLevel="0" collapsed="false">
      <c r="A119" s="8" t="s">
        <v>129</v>
      </c>
      <c r="B119" s="8" t="s">
        <v>45</v>
      </c>
      <c r="C119" s="31" t="n">
        <f aca="false">INDEX(Index!$W$2:$W$25,MATCH(A119,Index!$C$2:$C$25,0))</f>
        <v>54.4</v>
      </c>
      <c r="D119" s="8" t="s">
        <v>1024</v>
      </c>
      <c r="E119" s="6" t="s">
        <v>196</v>
      </c>
      <c r="F119" s="15" t="s">
        <v>1149</v>
      </c>
      <c r="G119" s="15"/>
      <c r="H119" s="15"/>
      <c r="I119" s="15"/>
      <c r="J119" s="15"/>
      <c r="K119" s="15"/>
      <c r="L119" s="6" t="s">
        <v>163</v>
      </c>
      <c r="M119" s="8" t="s">
        <v>1030</v>
      </c>
    </row>
    <row r="120" customFormat="false" ht="55.2" hidden="false" customHeight="false" outlineLevel="0" collapsed="false">
      <c r="A120" s="8" t="s">
        <v>129</v>
      </c>
      <c r="B120" s="8" t="s">
        <v>45</v>
      </c>
      <c r="C120" s="31" t="n">
        <f aca="false">INDEX(Index!$W$2:$W$25,MATCH(A120,Index!$C$2:$C$25,0))</f>
        <v>54.4</v>
      </c>
      <c r="D120" s="8" t="s">
        <v>1024</v>
      </c>
      <c r="E120" s="6" t="s">
        <v>201</v>
      </c>
      <c r="F120" s="15" t="s">
        <v>1150</v>
      </c>
      <c r="G120" s="15"/>
      <c r="H120" s="15"/>
      <c r="I120" s="15"/>
      <c r="J120" s="15"/>
      <c r="K120" s="15"/>
      <c r="L120" s="6" t="s">
        <v>166</v>
      </c>
      <c r="M120" s="8" t="s">
        <v>1030</v>
      </c>
    </row>
    <row r="121" customFormat="false" ht="41.75" hidden="false" customHeight="false" outlineLevel="0" collapsed="false">
      <c r="A121" s="8" t="s">
        <v>129</v>
      </c>
      <c r="B121" s="8" t="s">
        <v>45</v>
      </c>
      <c r="C121" s="31" t="n">
        <f aca="false">INDEX(Index!$W$2:$W$25,MATCH(A121,Index!$C$2:$C$25,0))</f>
        <v>54.4</v>
      </c>
      <c r="D121" s="8" t="s">
        <v>1024</v>
      </c>
      <c r="E121" s="6" t="s">
        <v>207</v>
      </c>
      <c r="F121" s="15" t="s">
        <v>1151</v>
      </c>
      <c r="G121" s="15"/>
      <c r="H121" s="15"/>
      <c r="I121" s="15"/>
      <c r="J121" s="15"/>
      <c r="K121" s="15"/>
      <c r="L121" s="6" t="s">
        <v>175</v>
      </c>
      <c r="M121" s="8" t="s">
        <v>1030</v>
      </c>
    </row>
    <row r="122" customFormat="false" ht="41.75" hidden="false" customHeight="false" outlineLevel="0" collapsed="false">
      <c r="A122" s="8" t="s">
        <v>132</v>
      </c>
      <c r="B122" s="8" t="s">
        <v>45</v>
      </c>
      <c r="C122" s="31" t="n">
        <f aca="false">INDEX(Index!$W$2:$W$25,MATCH(A122,Index!$C$2:$C$25,0))</f>
        <v>33.1</v>
      </c>
      <c r="D122" s="8" t="s">
        <v>1027</v>
      </c>
      <c r="E122" s="6" t="s">
        <v>1028</v>
      </c>
      <c r="F122" s="15" t="s">
        <v>1152</v>
      </c>
      <c r="G122" s="15"/>
      <c r="H122" s="15"/>
      <c r="I122" s="15"/>
      <c r="J122" s="15"/>
      <c r="K122" s="15"/>
      <c r="L122" s="6"/>
      <c r="M122" s="8" t="s">
        <v>1030</v>
      </c>
    </row>
    <row r="123" customFormat="false" ht="41.75" hidden="false" customHeight="false" outlineLevel="0" collapsed="false">
      <c r="A123" s="8" t="s">
        <v>132</v>
      </c>
      <c r="B123" s="8" t="s">
        <v>45</v>
      </c>
      <c r="C123" s="31" t="n">
        <f aca="false">INDEX(Index!$W$2:$W$25,MATCH(A123,Index!$C$2:$C$25,0))</f>
        <v>33.1</v>
      </c>
      <c r="D123" s="8" t="s">
        <v>1027</v>
      </c>
      <c r="E123" s="6" t="s">
        <v>1031</v>
      </c>
      <c r="F123" s="15" t="s">
        <v>1153</v>
      </c>
      <c r="G123" s="15"/>
      <c r="H123" s="15"/>
      <c r="I123" s="15"/>
      <c r="J123" s="15"/>
      <c r="K123" s="15"/>
      <c r="L123" s="6" t="s">
        <v>166</v>
      </c>
      <c r="M123" s="8" t="s">
        <v>1030</v>
      </c>
    </row>
    <row r="124" customFormat="false" ht="28.35" hidden="false" customHeight="false" outlineLevel="0" collapsed="false">
      <c r="A124" s="8" t="s">
        <v>132</v>
      </c>
      <c r="B124" s="8" t="s">
        <v>45</v>
      </c>
      <c r="C124" s="31" t="n">
        <f aca="false">INDEX(Index!$W$2:$W$25,MATCH(A124,Index!$C$2:$C$25,0))</f>
        <v>33.1</v>
      </c>
      <c r="D124" s="8" t="s">
        <v>1027</v>
      </c>
      <c r="E124" s="6" t="s">
        <v>1033</v>
      </c>
      <c r="F124" s="15" t="s">
        <v>1154</v>
      </c>
      <c r="G124" s="15"/>
      <c r="H124" s="15"/>
      <c r="I124" s="15"/>
      <c r="J124" s="15"/>
      <c r="K124" s="15"/>
      <c r="L124" s="6" t="s">
        <v>163</v>
      </c>
      <c r="M124" s="8" t="s">
        <v>1030</v>
      </c>
    </row>
    <row r="125" customFormat="false" ht="68.65" hidden="false" customHeight="false" outlineLevel="0" collapsed="false">
      <c r="A125" s="8" t="s">
        <v>132</v>
      </c>
      <c r="B125" s="8" t="s">
        <v>45</v>
      </c>
      <c r="C125" s="31" t="n">
        <f aca="false">INDEX(Index!$W$2:$W$25,MATCH(A125,Index!$C$2:$C$25,0))</f>
        <v>33.1</v>
      </c>
      <c r="D125" s="8" t="s">
        <v>1024</v>
      </c>
      <c r="E125" s="6" t="s">
        <v>196</v>
      </c>
      <c r="F125" s="15" t="s">
        <v>1155</v>
      </c>
      <c r="G125" s="15"/>
      <c r="H125" s="15"/>
      <c r="I125" s="15"/>
      <c r="J125" s="15"/>
      <c r="K125" s="15"/>
      <c r="L125" s="6" t="s">
        <v>163</v>
      </c>
      <c r="M125" s="8" t="s">
        <v>1030</v>
      </c>
    </row>
    <row r="126" customFormat="false" ht="55.2" hidden="false" customHeight="false" outlineLevel="0" collapsed="false">
      <c r="A126" s="8" t="s">
        <v>132</v>
      </c>
      <c r="B126" s="8" t="s">
        <v>45</v>
      </c>
      <c r="C126" s="31" t="n">
        <f aca="false">INDEX(Index!$W$2:$W$25,MATCH(A126,Index!$C$2:$C$25,0))</f>
        <v>33.1</v>
      </c>
      <c r="D126" s="8" t="s">
        <v>1024</v>
      </c>
      <c r="E126" s="6" t="s">
        <v>201</v>
      </c>
      <c r="F126" s="15" t="s">
        <v>1156</v>
      </c>
      <c r="G126" s="15"/>
      <c r="H126" s="15"/>
      <c r="I126" s="15"/>
      <c r="J126" s="15"/>
      <c r="K126" s="15"/>
      <c r="L126" s="6" t="s">
        <v>169</v>
      </c>
      <c r="M126" s="8" t="s">
        <v>1030</v>
      </c>
    </row>
    <row r="127" customFormat="false" ht="55.2" hidden="false" customHeight="false" outlineLevel="0" collapsed="false">
      <c r="A127" s="8" t="s">
        <v>132</v>
      </c>
      <c r="B127" s="8" t="s">
        <v>45</v>
      </c>
      <c r="C127" s="31" t="n">
        <f aca="false">INDEX(Index!$W$2:$W$25,MATCH(A127,Index!$C$2:$C$25,0))</f>
        <v>33.1</v>
      </c>
      <c r="D127" s="8" t="s">
        <v>1024</v>
      </c>
      <c r="E127" s="6" t="s">
        <v>207</v>
      </c>
      <c r="F127" s="15" t="s">
        <v>1157</v>
      </c>
      <c r="G127" s="15"/>
      <c r="H127" s="15"/>
      <c r="I127" s="15"/>
      <c r="J127" s="15"/>
      <c r="K127" s="15"/>
      <c r="L127" s="6" t="s">
        <v>172</v>
      </c>
      <c r="M127" s="8" t="s">
        <v>1030</v>
      </c>
    </row>
    <row r="128" customFormat="false" ht="68.65" hidden="false" customHeight="false" outlineLevel="0" collapsed="false">
      <c r="A128" s="8" t="s">
        <v>135</v>
      </c>
      <c r="B128" s="8" t="s">
        <v>136</v>
      </c>
      <c r="C128" s="31" t="n">
        <f aca="false">INDEX(Index!$W$2:$W$25,MATCH(A128,Index!$C$2:$C$25,0))</f>
        <v>95.2</v>
      </c>
      <c r="D128" s="8" t="s">
        <v>1027</v>
      </c>
      <c r="E128" s="6" t="s">
        <v>1028</v>
      </c>
      <c r="F128" s="15" t="s">
        <v>1158</v>
      </c>
      <c r="G128" s="15"/>
      <c r="H128" s="15"/>
      <c r="I128" s="15"/>
      <c r="J128" s="15"/>
      <c r="K128" s="15"/>
      <c r="L128" s="6" t="s">
        <v>163</v>
      </c>
      <c r="M128" s="8" t="s">
        <v>1159</v>
      </c>
    </row>
    <row r="129" customFormat="false" ht="68.65" hidden="false" customHeight="false" outlineLevel="0" collapsed="false">
      <c r="A129" s="8" t="s">
        <v>135</v>
      </c>
      <c r="B129" s="8" t="s">
        <v>136</v>
      </c>
      <c r="C129" s="31" t="n">
        <f aca="false">INDEX(Index!$W$2:$W$25,MATCH(A129,Index!$C$2:$C$25,0))</f>
        <v>95.2</v>
      </c>
      <c r="D129" s="8" t="s">
        <v>1027</v>
      </c>
      <c r="E129" s="6" t="s">
        <v>1031</v>
      </c>
      <c r="F129" s="15" t="s">
        <v>1160</v>
      </c>
      <c r="G129" s="15"/>
      <c r="H129" s="15"/>
      <c r="I129" s="15"/>
      <c r="J129" s="15"/>
      <c r="K129" s="15"/>
      <c r="L129" s="6" t="s">
        <v>166</v>
      </c>
      <c r="M129" s="8" t="s">
        <v>1159</v>
      </c>
    </row>
    <row r="130" customFormat="false" ht="68.65" hidden="false" customHeight="false" outlineLevel="0" collapsed="false">
      <c r="A130" s="8" t="s">
        <v>135</v>
      </c>
      <c r="B130" s="8" t="s">
        <v>136</v>
      </c>
      <c r="C130" s="31" t="n">
        <f aca="false">INDEX(Index!$W$2:$W$25,MATCH(A130,Index!$C$2:$C$25,0))</f>
        <v>95.2</v>
      </c>
      <c r="D130" s="8" t="s">
        <v>1027</v>
      </c>
      <c r="E130" s="6" t="s">
        <v>1033</v>
      </c>
      <c r="F130" s="15" t="s">
        <v>1161</v>
      </c>
      <c r="G130" s="15"/>
      <c r="H130" s="15"/>
      <c r="I130" s="15"/>
      <c r="J130" s="15"/>
      <c r="K130" s="15"/>
      <c r="L130" s="6" t="s">
        <v>166</v>
      </c>
      <c r="M130" s="8" t="s">
        <v>1159</v>
      </c>
    </row>
    <row r="131" customFormat="false" ht="82.05" hidden="false" customHeight="false" outlineLevel="0" collapsed="false">
      <c r="A131" s="8" t="s">
        <v>135</v>
      </c>
      <c r="B131" s="8" t="s">
        <v>136</v>
      </c>
      <c r="C131" s="31" t="n">
        <f aca="false">INDEX(Index!$W$2:$W$25,MATCH(A131,Index!$C$2:$C$25,0))</f>
        <v>95.2</v>
      </c>
      <c r="D131" s="8" t="s">
        <v>1024</v>
      </c>
      <c r="E131" s="6" t="s">
        <v>196</v>
      </c>
      <c r="F131" s="15" t="s">
        <v>1162</v>
      </c>
      <c r="G131" s="15"/>
      <c r="H131" s="15"/>
      <c r="I131" s="15"/>
      <c r="J131" s="15"/>
      <c r="K131" s="15"/>
      <c r="L131" s="6" t="s">
        <v>169</v>
      </c>
      <c r="M131" s="8" t="s">
        <v>1159</v>
      </c>
    </row>
    <row r="132" customFormat="false" ht="95.5" hidden="false" customHeight="false" outlineLevel="0" collapsed="false">
      <c r="A132" s="8" t="s">
        <v>135</v>
      </c>
      <c r="B132" s="8" t="s">
        <v>136</v>
      </c>
      <c r="C132" s="31" t="n">
        <f aca="false">INDEX(Index!$W$2:$W$25,MATCH(A132,Index!$C$2:$C$25,0))</f>
        <v>95.2</v>
      </c>
      <c r="D132" s="8" t="s">
        <v>1024</v>
      </c>
      <c r="E132" s="6" t="s">
        <v>201</v>
      </c>
      <c r="F132" s="15" t="s">
        <v>1163</v>
      </c>
      <c r="G132" s="15"/>
      <c r="H132" s="15"/>
      <c r="I132" s="15"/>
      <c r="J132" s="15"/>
      <c r="K132" s="15"/>
      <c r="L132" s="6" t="s">
        <v>166</v>
      </c>
      <c r="M132" s="8" t="s">
        <v>1159</v>
      </c>
    </row>
    <row r="133" customFormat="false" ht="82.05" hidden="false" customHeight="false" outlineLevel="0" collapsed="false">
      <c r="A133" s="8" t="s">
        <v>135</v>
      </c>
      <c r="B133" s="8" t="s">
        <v>136</v>
      </c>
      <c r="C133" s="31" t="n">
        <f aca="false">INDEX(Index!$W$2:$W$25,MATCH(A133,Index!$C$2:$C$25,0))</f>
        <v>95.2</v>
      </c>
      <c r="D133" s="8" t="s">
        <v>1024</v>
      </c>
      <c r="E133" s="6" t="s">
        <v>207</v>
      </c>
      <c r="F133" s="15" t="s">
        <v>1164</v>
      </c>
      <c r="G133" s="15"/>
      <c r="H133" s="15"/>
      <c r="I133" s="15"/>
      <c r="J133" s="15"/>
      <c r="K133" s="15"/>
      <c r="L133" s="6" t="s">
        <v>166</v>
      </c>
      <c r="M133" s="8" t="s">
        <v>1159</v>
      </c>
    </row>
    <row r="134" customFormat="false" ht="90" hidden="false" customHeight="true" outlineLevel="0" collapsed="false">
      <c r="A134" s="18" t="s">
        <v>135</v>
      </c>
      <c r="B134" s="18" t="s">
        <v>136</v>
      </c>
      <c r="C134" s="32" t="n">
        <f aca="false">INDEX(Index!$W$2:$W$25,MATCH(A134,Index!$C$2:$C$25,0))</f>
        <v>95.2</v>
      </c>
      <c r="D134" s="18" t="s">
        <v>1020</v>
      </c>
      <c r="E134" s="16" t="s">
        <v>196</v>
      </c>
      <c r="F134" s="25" t="s">
        <v>1165</v>
      </c>
      <c r="G134" s="25" t="s">
        <v>1166</v>
      </c>
      <c r="H134" s="25" t="s">
        <v>1167</v>
      </c>
      <c r="I134" s="25" t="s">
        <v>1168</v>
      </c>
      <c r="J134" s="25" t="s">
        <v>1169</v>
      </c>
      <c r="K134" s="25" t="s">
        <v>1170</v>
      </c>
      <c r="L134" s="16" t="s">
        <v>169</v>
      </c>
      <c r="M134" s="18" t="s">
        <v>1171</v>
      </c>
    </row>
    <row r="135" customFormat="false" ht="90" hidden="false" customHeight="true" outlineLevel="0" collapsed="false">
      <c r="A135" s="18" t="s">
        <v>135</v>
      </c>
      <c r="B135" s="18" t="s">
        <v>136</v>
      </c>
      <c r="C135" s="32" t="n">
        <f aca="false">INDEX(Index!$W$2:$W$25,MATCH(A135,Index!$C$2:$C$25,0))</f>
        <v>95.2</v>
      </c>
      <c r="D135" s="18" t="s">
        <v>1020</v>
      </c>
      <c r="E135" s="16" t="s">
        <v>201</v>
      </c>
      <c r="F135" s="25" t="s">
        <v>1172</v>
      </c>
      <c r="G135" s="25" t="s">
        <v>1173</v>
      </c>
      <c r="H135" s="25" t="s">
        <v>1174</v>
      </c>
      <c r="I135" s="25" t="s">
        <v>1175</v>
      </c>
      <c r="J135" s="25" t="s">
        <v>1176</v>
      </c>
      <c r="K135" s="25" t="s">
        <v>1177</v>
      </c>
      <c r="L135" s="16" t="s">
        <v>169</v>
      </c>
      <c r="M135" s="18" t="s">
        <v>1171</v>
      </c>
    </row>
    <row r="136" customFormat="false" ht="90" hidden="false" customHeight="true" outlineLevel="0" collapsed="false">
      <c r="A136" s="18" t="s">
        <v>135</v>
      </c>
      <c r="B136" s="18" t="s">
        <v>136</v>
      </c>
      <c r="C136" s="32" t="n">
        <f aca="false">INDEX(Index!$W$2:$W$25,MATCH(A136,Index!$C$2:$C$25,0))</f>
        <v>95.2</v>
      </c>
      <c r="D136" s="18" t="s">
        <v>1020</v>
      </c>
      <c r="E136" s="16" t="s">
        <v>207</v>
      </c>
      <c r="F136" s="25" t="s">
        <v>1178</v>
      </c>
      <c r="G136" s="25" t="s">
        <v>1179</v>
      </c>
      <c r="H136" s="25" t="s">
        <v>1180</v>
      </c>
      <c r="I136" s="25" t="s">
        <v>1181</v>
      </c>
      <c r="J136" s="25" t="s">
        <v>1182</v>
      </c>
      <c r="K136" s="25" t="s">
        <v>1183</v>
      </c>
      <c r="L136" s="16" t="s">
        <v>169</v>
      </c>
      <c r="M136" s="18" t="s">
        <v>1171</v>
      </c>
    </row>
    <row r="137" customFormat="false" ht="90" hidden="false" customHeight="true" outlineLevel="0" collapsed="false">
      <c r="A137" s="18" t="s">
        <v>135</v>
      </c>
      <c r="B137" s="18" t="s">
        <v>136</v>
      </c>
      <c r="C137" s="32" t="n">
        <f aca="false">INDEX(Index!$W$2:$W$25,MATCH(A137,Index!$C$2:$C$25,0))</f>
        <v>95.2</v>
      </c>
      <c r="D137" s="18" t="s">
        <v>1020</v>
      </c>
      <c r="E137" s="16" t="s">
        <v>213</v>
      </c>
      <c r="F137" s="25" t="s">
        <v>1184</v>
      </c>
      <c r="G137" s="25" t="s">
        <v>1185</v>
      </c>
      <c r="H137" s="25" t="s">
        <v>1186</v>
      </c>
      <c r="I137" s="25" t="s">
        <v>1187</v>
      </c>
      <c r="J137" s="25" t="s">
        <v>1188</v>
      </c>
      <c r="K137" s="25" t="s">
        <v>1189</v>
      </c>
      <c r="L137" s="16" t="s">
        <v>166</v>
      </c>
      <c r="M137" s="18" t="s">
        <v>1171</v>
      </c>
    </row>
    <row r="138" customFormat="false" ht="90" hidden="false" customHeight="true" outlineLevel="0" collapsed="false">
      <c r="A138" s="18" t="s">
        <v>135</v>
      </c>
      <c r="B138" s="18" t="s">
        <v>136</v>
      </c>
      <c r="C138" s="32" t="n">
        <f aca="false">INDEX(Index!$W$2:$W$25,MATCH(A138,Index!$C$2:$C$25,0))</f>
        <v>95.2</v>
      </c>
      <c r="D138" s="18" t="s">
        <v>1020</v>
      </c>
      <c r="E138" s="16" t="s">
        <v>219</v>
      </c>
      <c r="F138" s="25" t="s">
        <v>1190</v>
      </c>
      <c r="G138" s="25" t="s">
        <v>1191</v>
      </c>
      <c r="H138" s="25" t="s">
        <v>1192</v>
      </c>
      <c r="I138" s="25" t="s">
        <v>1193</v>
      </c>
      <c r="J138" s="25" t="s">
        <v>1194</v>
      </c>
      <c r="K138" s="25" t="s">
        <v>1195</v>
      </c>
      <c r="L138" s="16" t="s">
        <v>163</v>
      </c>
      <c r="M138" s="18" t="s">
        <v>1171</v>
      </c>
    </row>
    <row r="139" customFormat="false" ht="90" hidden="false" customHeight="true" outlineLevel="0" collapsed="false">
      <c r="A139" s="18" t="s">
        <v>135</v>
      </c>
      <c r="B139" s="18" t="s">
        <v>136</v>
      </c>
      <c r="C139" s="32" t="n">
        <f aca="false">INDEX(Index!$W$2:$W$25,MATCH(A139,Index!$C$2:$C$25,0))</f>
        <v>95.2</v>
      </c>
      <c r="D139" s="18" t="s">
        <v>1020</v>
      </c>
      <c r="E139" s="16" t="s">
        <v>225</v>
      </c>
      <c r="F139" s="25" t="s">
        <v>1196</v>
      </c>
      <c r="G139" s="25" t="s">
        <v>1197</v>
      </c>
      <c r="H139" s="25" t="s">
        <v>1198</v>
      </c>
      <c r="I139" s="25" t="s">
        <v>1199</v>
      </c>
      <c r="J139" s="25" t="s">
        <v>1200</v>
      </c>
      <c r="K139" s="25" t="s">
        <v>1201</v>
      </c>
      <c r="L139" s="16" t="s">
        <v>172</v>
      </c>
      <c r="M139" s="18" t="s">
        <v>1171</v>
      </c>
    </row>
    <row r="140" customFormat="false" ht="41.75" hidden="false" customHeight="false" outlineLevel="0" collapsed="false">
      <c r="A140" s="8" t="s">
        <v>142</v>
      </c>
      <c r="B140" s="8" t="s">
        <v>136</v>
      </c>
      <c r="C140" s="31" t="n">
        <f aca="false">INDEX(Index!$W$2:$W$25,MATCH(A140,Index!$C$2:$C$25,0))</f>
        <v>61</v>
      </c>
      <c r="D140" s="8" t="s">
        <v>1027</v>
      </c>
      <c r="E140" s="6" t="s">
        <v>1028</v>
      </c>
      <c r="F140" s="15" t="s">
        <v>1202</v>
      </c>
      <c r="G140" s="15"/>
      <c r="H140" s="15"/>
      <c r="I140" s="15"/>
      <c r="J140" s="15"/>
      <c r="K140" s="15"/>
      <c r="L140" s="6" t="s">
        <v>166</v>
      </c>
      <c r="M140" s="8" t="s">
        <v>1159</v>
      </c>
    </row>
    <row r="141" customFormat="false" ht="55.2" hidden="false" customHeight="false" outlineLevel="0" collapsed="false">
      <c r="A141" s="8" t="s">
        <v>142</v>
      </c>
      <c r="B141" s="8" t="s">
        <v>136</v>
      </c>
      <c r="C141" s="31" t="n">
        <f aca="false">INDEX(Index!$W$2:$W$25,MATCH(A141,Index!$C$2:$C$25,0))</f>
        <v>61</v>
      </c>
      <c r="D141" s="8" t="s">
        <v>1027</v>
      </c>
      <c r="E141" s="6" t="s">
        <v>1031</v>
      </c>
      <c r="F141" s="15" t="s">
        <v>1203</v>
      </c>
      <c r="G141" s="15"/>
      <c r="H141" s="15"/>
      <c r="I141" s="15"/>
      <c r="J141" s="15"/>
      <c r="K141" s="15"/>
      <c r="L141" s="6" t="s">
        <v>166</v>
      </c>
      <c r="M141" s="8" t="s">
        <v>1159</v>
      </c>
    </row>
    <row r="142" customFormat="false" ht="41.75" hidden="false" customHeight="false" outlineLevel="0" collapsed="false">
      <c r="A142" s="8" t="s">
        <v>142</v>
      </c>
      <c r="B142" s="8" t="s">
        <v>136</v>
      </c>
      <c r="C142" s="31" t="n">
        <f aca="false">INDEX(Index!$W$2:$W$25,MATCH(A142,Index!$C$2:$C$25,0))</f>
        <v>61</v>
      </c>
      <c r="D142" s="8" t="s">
        <v>1027</v>
      </c>
      <c r="E142" s="6" t="s">
        <v>1033</v>
      </c>
      <c r="F142" s="15" t="s">
        <v>1204</v>
      </c>
      <c r="G142" s="15"/>
      <c r="H142" s="15"/>
      <c r="I142" s="15"/>
      <c r="J142" s="15"/>
      <c r="K142" s="15"/>
      <c r="L142" s="6" t="s">
        <v>166</v>
      </c>
      <c r="M142" s="8" t="s">
        <v>1159</v>
      </c>
    </row>
    <row r="143" customFormat="false" ht="55.2" hidden="false" customHeight="false" outlineLevel="0" collapsed="false">
      <c r="A143" s="8" t="s">
        <v>142</v>
      </c>
      <c r="B143" s="8" t="s">
        <v>136</v>
      </c>
      <c r="C143" s="31" t="n">
        <f aca="false">INDEX(Index!$W$2:$W$25,MATCH(A143,Index!$C$2:$C$25,0))</f>
        <v>61</v>
      </c>
      <c r="D143" s="8" t="s">
        <v>1024</v>
      </c>
      <c r="E143" s="6" t="s">
        <v>196</v>
      </c>
      <c r="F143" s="15" t="s">
        <v>1205</v>
      </c>
      <c r="G143" s="15"/>
      <c r="H143" s="15"/>
      <c r="I143" s="15"/>
      <c r="J143" s="15"/>
      <c r="K143" s="15"/>
      <c r="L143" s="6" t="s">
        <v>163</v>
      </c>
      <c r="M143" s="8" t="s">
        <v>1159</v>
      </c>
    </row>
    <row r="144" customFormat="false" ht="55.2" hidden="false" customHeight="false" outlineLevel="0" collapsed="false">
      <c r="A144" s="8" t="s">
        <v>142</v>
      </c>
      <c r="B144" s="8" t="s">
        <v>136</v>
      </c>
      <c r="C144" s="31" t="n">
        <f aca="false">INDEX(Index!$W$2:$W$25,MATCH(A144,Index!$C$2:$C$25,0))</f>
        <v>61</v>
      </c>
      <c r="D144" s="8" t="s">
        <v>1024</v>
      </c>
      <c r="E144" s="6" t="s">
        <v>201</v>
      </c>
      <c r="F144" s="15" t="s">
        <v>1206</v>
      </c>
      <c r="G144" s="15"/>
      <c r="H144" s="15"/>
      <c r="I144" s="15"/>
      <c r="J144" s="15"/>
      <c r="K144" s="15"/>
      <c r="L144" s="6" t="s">
        <v>166</v>
      </c>
      <c r="M144" s="8" t="s">
        <v>1159</v>
      </c>
    </row>
    <row r="145" customFormat="false" ht="68.65" hidden="false" customHeight="false" outlineLevel="0" collapsed="false">
      <c r="A145" s="8" t="s">
        <v>142</v>
      </c>
      <c r="B145" s="8" t="s">
        <v>136</v>
      </c>
      <c r="C145" s="31" t="n">
        <f aca="false">INDEX(Index!$W$2:$W$25,MATCH(A145,Index!$C$2:$C$25,0))</f>
        <v>61</v>
      </c>
      <c r="D145" s="8" t="s">
        <v>1024</v>
      </c>
      <c r="E145" s="6" t="s">
        <v>207</v>
      </c>
      <c r="F145" s="15" t="s">
        <v>1207</v>
      </c>
      <c r="G145" s="15"/>
      <c r="H145" s="15"/>
      <c r="I145" s="15"/>
      <c r="J145" s="15"/>
      <c r="K145" s="15"/>
      <c r="L145" s="6" t="s">
        <v>169</v>
      </c>
      <c r="M145" s="8" t="s">
        <v>1159</v>
      </c>
    </row>
    <row r="146" customFormat="false" ht="90" hidden="false" customHeight="true" outlineLevel="0" collapsed="false">
      <c r="A146" s="18" t="s">
        <v>142</v>
      </c>
      <c r="B146" s="18" t="s">
        <v>136</v>
      </c>
      <c r="C146" s="32" t="n">
        <f aca="false">INDEX(Index!$W$2:$W$25,MATCH(A146,Index!$C$2:$C$25,0))</f>
        <v>61</v>
      </c>
      <c r="D146" s="18" t="s">
        <v>1020</v>
      </c>
      <c r="E146" s="16" t="s">
        <v>196</v>
      </c>
      <c r="F146" s="25" t="s">
        <v>1208</v>
      </c>
      <c r="G146" s="25" t="s">
        <v>1209</v>
      </c>
      <c r="H146" s="25" t="s">
        <v>1210</v>
      </c>
      <c r="I146" s="25" t="s">
        <v>1211</v>
      </c>
      <c r="J146" s="25" t="s">
        <v>1212</v>
      </c>
      <c r="K146" s="25" t="s">
        <v>1213</v>
      </c>
      <c r="L146" s="16" t="s">
        <v>163</v>
      </c>
      <c r="M146" s="18" t="s">
        <v>1171</v>
      </c>
    </row>
    <row r="147" customFormat="false" ht="90" hidden="false" customHeight="true" outlineLevel="0" collapsed="false">
      <c r="A147" s="18" t="s">
        <v>142</v>
      </c>
      <c r="B147" s="18" t="s">
        <v>136</v>
      </c>
      <c r="C147" s="32" t="n">
        <f aca="false">INDEX(Index!$W$2:$W$25,MATCH(A147,Index!$C$2:$C$25,0))</f>
        <v>61</v>
      </c>
      <c r="D147" s="18" t="s">
        <v>1020</v>
      </c>
      <c r="E147" s="16" t="s">
        <v>201</v>
      </c>
      <c r="F147" s="25" t="s">
        <v>1214</v>
      </c>
      <c r="G147" s="25" t="s">
        <v>1215</v>
      </c>
      <c r="H147" s="25" t="s">
        <v>1216</v>
      </c>
      <c r="I147" s="25" t="s">
        <v>1217</v>
      </c>
      <c r="J147" s="25" t="s">
        <v>1218</v>
      </c>
      <c r="K147" s="25" t="s">
        <v>1219</v>
      </c>
      <c r="L147" s="16" t="s">
        <v>166</v>
      </c>
      <c r="M147" s="18" t="s">
        <v>1171</v>
      </c>
    </row>
    <row r="148" customFormat="false" ht="90" hidden="false" customHeight="true" outlineLevel="0" collapsed="false">
      <c r="A148" s="18" t="s">
        <v>142</v>
      </c>
      <c r="B148" s="18" t="s">
        <v>136</v>
      </c>
      <c r="C148" s="32" t="n">
        <f aca="false">INDEX(Index!$W$2:$W$25,MATCH(A148,Index!$C$2:$C$25,0))</f>
        <v>61</v>
      </c>
      <c r="D148" s="18" t="s">
        <v>1020</v>
      </c>
      <c r="E148" s="16" t="s">
        <v>207</v>
      </c>
      <c r="F148" s="25" t="s">
        <v>1220</v>
      </c>
      <c r="G148" s="25" t="s">
        <v>1221</v>
      </c>
      <c r="H148" s="25" t="s">
        <v>1222</v>
      </c>
      <c r="I148" s="25" t="s">
        <v>1223</v>
      </c>
      <c r="J148" s="25" t="s">
        <v>1224</v>
      </c>
      <c r="K148" s="25" t="s">
        <v>1225</v>
      </c>
      <c r="L148" s="16" t="s">
        <v>169</v>
      </c>
      <c r="M148" s="18" t="s">
        <v>1171</v>
      </c>
    </row>
    <row r="149" customFormat="false" ht="90" hidden="false" customHeight="true" outlineLevel="0" collapsed="false">
      <c r="A149" s="18" t="s">
        <v>142</v>
      </c>
      <c r="B149" s="18" t="s">
        <v>136</v>
      </c>
      <c r="C149" s="32" t="n">
        <f aca="false">INDEX(Index!$W$2:$W$25,MATCH(A149,Index!$C$2:$C$25,0))</f>
        <v>61</v>
      </c>
      <c r="D149" s="18" t="s">
        <v>1020</v>
      </c>
      <c r="E149" s="16" t="s">
        <v>213</v>
      </c>
      <c r="F149" s="25" t="s">
        <v>1226</v>
      </c>
      <c r="G149" s="25" t="s">
        <v>1227</v>
      </c>
      <c r="H149" s="25" t="s">
        <v>1228</v>
      </c>
      <c r="I149" s="25" t="s">
        <v>1229</v>
      </c>
      <c r="J149" s="25" t="s">
        <v>1230</v>
      </c>
      <c r="K149" s="25" t="s">
        <v>1231</v>
      </c>
      <c r="L149" s="16" t="s">
        <v>166</v>
      </c>
      <c r="M149" s="18" t="s">
        <v>1232</v>
      </c>
    </row>
    <row r="150" customFormat="false" ht="90" hidden="false" customHeight="true" outlineLevel="0" collapsed="false">
      <c r="A150" s="18" t="s">
        <v>142</v>
      </c>
      <c r="B150" s="18" t="s">
        <v>136</v>
      </c>
      <c r="C150" s="32" t="n">
        <f aca="false">INDEX(Index!$W$2:$W$25,MATCH(A150,Index!$C$2:$C$25,0))</f>
        <v>61</v>
      </c>
      <c r="D150" s="18" t="s">
        <v>1020</v>
      </c>
      <c r="E150" s="16" t="s">
        <v>219</v>
      </c>
      <c r="F150" s="25" t="s">
        <v>1233</v>
      </c>
      <c r="G150" s="25" t="s">
        <v>1234</v>
      </c>
      <c r="H150" s="25" t="s">
        <v>1235</v>
      </c>
      <c r="I150" s="25" t="s">
        <v>1236</v>
      </c>
      <c r="J150" s="25" t="s">
        <v>1237</v>
      </c>
      <c r="K150" s="25" t="s">
        <v>1238</v>
      </c>
      <c r="L150" s="16" t="s">
        <v>163</v>
      </c>
      <c r="M150" s="18" t="s">
        <v>1171</v>
      </c>
    </row>
    <row r="151" customFormat="false" ht="90" hidden="false" customHeight="true" outlineLevel="0" collapsed="false">
      <c r="A151" s="18" t="s">
        <v>142</v>
      </c>
      <c r="B151" s="18" t="s">
        <v>136</v>
      </c>
      <c r="C151" s="32" t="n">
        <f aca="false">INDEX(Index!$W$2:$W$25,MATCH(A151,Index!$C$2:$C$25,0))</f>
        <v>61</v>
      </c>
      <c r="D151" s="18" t="s">
        <v>1020</v>
      </c>
      <c r="E151" s="16" t="s">
        <v>225</v>
      </c>
      <c r="F151" s="25" t="s">
        <v>1239</v>
      </c>
      <c r="G151" s="25" t="s">
        <v>1240</v>
      </c>
      <c r="H151" s="25" t="s">
        <v>1241</v>
      </c>
      <c r="I151" s="25" t="s">
        <v>1242</v>
      </c>
      <c r="J151" s="25" t="s">
        <v>1243</v>
      </c>
      <c r="K151" s="25" t="s">
        <v>1244</v>
      </c>
      <c r="L151" s="16" t="s">
        <v>172</v>
      </c>
      <c r="M151" s="18" t="s">
        <v>1171</v>
      </c>
    </row>
    <row r="152" customFormat="false" ht="55.2" hidden="false" customHeight="false" outlineLevel="0" collapsed="false">
      <c r="A152" s="8" t="s">
        <v>148</v>
      </c>
      <c r="B152" s="8" t="s">
        <v>136</v>
      </c>
      <c r="C152" s="31" t="n">
        <f aca="false">INDEX(Index!$W$2:$W$25,MATCH(A152,Index!$C$2:$C$25,0))</f>
        <v>77.6</v>
      </c>
      <c r="D152" s="8" t="s">
        <v>1027</v>
      </c>
      <c r="E152" s="6" t="s">
        <v>1028</v>
      </c>
      <c r="F152" s="15" t="s">
        <v>1245</v>
      </c>
      <c r="G152" s="15"/>
      <c r="H152" s="15"/>
      <c r="I152" s="15"/>
      <c r="J152" s="15"/>
      <c r="K152" s="15"/>
      <c r="L152" s="6" t="s">
        <v>169</v>
      </c>
      <c r="M152" s="8" t="s">
        <v>1159</v>
      </c>
    </row>
    <row r="153" customFormat="false" ht="55.2" hidden="false" customHeight="false" outlineLevel="0" collapsed="false">
      <c r="A153" s="8" t="s">
        <v>148</v>
      </c>
      <c r="B153" s="8" t="s">
        <v>136</v>
      </c>
      <c r="C153" s="31" t="n">
        <f aca="false">INDEX(Index!$W$2:$W$25,MATCH(A153,Index!$C$2:$C$25,0))</f>
        <v>77.6</v>
      </c>
      <c r="D153" s="8" t="s">
        <v>1027</v>
      </c>
      <c r="E153" s="6" t="s">
        <v>1031</v>
      </c>
      <c r="F153" s="15" t="s">
        <v>1246</v>
      </c>
      <c r="G153" s="15"/>
      <c r="H153" s="15"/>
      <c r="I153" s="15"/>
      <c r="J153" s="15"/>
      <c r="K153" s="15"/>
      <c r="L153" s="6" t="s">
        <v>166</v>
      </c>
      <c r="M153" s="8" t="s">
        <v>1159</v>
      </c>
    </row>
    <row r="154" customFormat="false" ht="55.2" hidden="false" customHeight="false" outlineLevel="0" collapsed="false">
      <c r="A154" s="8" t="s">
        <v>148</v>
      </c>
      <c r="B154" s="8" t="s">
        <v>136</v>
      </c>
      <c r="C154" s="31" t="n">
        <f aca="false">INDEX(Index!$W$2:$W$25,MATCH(A154,Index!$C$2:$C$25,0))</f>
        <v>77.6</v>
      </c>
      <c r="D154" s="8" t="s">
        <v>1027</v>
      </c>
      <c r="E154" s="6" t="s">
        <v>1033</v>
      </c>
      <c r="F154" s="15" t="s">
        <v>1247</v>
      </c>
      <c r="G154" s="15"/>
      <c r="H154" s="15"/>
      <c r="I154" s="15"/>
      <c r="J154" s="15"/>
      <c r="K154" s="15"/>
      <c r="L154" s="6" t="s">
        <v>172</v>
      </c>
      <c r="M154" s="8" t="s">
        <v>1159</v>
      </c>
    </row>
    <row r="155" customFormat="false" ht="55.2" hidden="false" customHeight="false" outlineLevel="0" collapsed="false">
      <c r="A155" s="8" t="s">
        <v>148</v>
      </c>
      <c r="B155" s="8" t="s">
        <v>136</v>
      </c>
      <c r="C155" s="31" t="n">
        <f aca="false">INDEX(Index!$W$2:$W$25,MATCH(A155,Index!$C$2:$C$25,0))</f>
        <v>77.6</v>
      </c>
      <c r="D155" s="8" t="s">
        <v>1024</v>
      </c>
      <c r="E155" s="6" t="s">
        <v>196</v>
      </c>
      <c r="F155" s="15" t="s">
        <v>1248</v>
      </c>
      <c r="G155" s="15"/>
      <c r="H155" s="15"/>
      <c r="I155" s="15"/>
      <c r="J155" s="15"/>
      <c r="K155" s="15"/>
      <c r="L155" s="6" t="s">
        <v>163</v>
      </c>
      <c r="M155" s="8" t="s">
        <v>1159</v>
      </c>
    </row>
    <row r="156" customFormat="false" ht="68.65" hidden="false" customHeight="false" outlineLevel="0" collapsed="false">
      <c r="A156" s="8" t="s">
        <v>148</v>
      </c>
      <c r="B156" s="8" t="s">
        <v>136</v>
      </c>
      <c r="C156" s="31" t="n">
        <f aca="false">INDEX(Index!$W$2:$W$25,MATCH(A156,Index!$C$2:$C$25,0))</f>
        <v>77.6</v>
      </c>
      <c r="D156" s="8" t="s">
        <v>1024</v>
      </c>
      <c r="E156" s="6" t="s">
        <v>201</v>
      </c>
      <c r="F156" s="15" t="s">
        <v>1249</v>
      </c>
      <c r="G156" s="15"/>
      <c r="H156" s="15"/>
      <c r="I156" s="15"/>
      <c r="J156" s="15"/>
      <c r="K156" s="15"/>
      <c r="L156" s="6" t="s">
        <v>163</v>
      </c>
      <c r="M156" s="8" t="s">
        <v>1159</v>
      </c>
    </row>
    <row r="157" customFormat="false" ht="55.2" hidden="false" customHeight="false" outlineLevel="0" collapsed="false">
      <c r="A157" s="8" t="s">
        <v>148</v>
      </c>
      <c r="B157" s="8" t="s">
        <v>136</v>
      </c>
      <c r="C157" s="31" t="n">
        <f aca="false">INDEX(Index!$W$2:$W$25,MATCH(A157,Index!$C$2:$C$25,0))</f>
        <v>77.6</v>
      </c>
      <c r="D157" s="8" t="s">
        <v>1024</v>
      </c>
      <c r="E157" s="6" t="s">
        <v>207</v>
      </c>
      <c r="F157" s="15" t="s">
        <v>1250</v>
      </c>
      <c r="G157" s="15"/>
      <c r="H157" s="15"/>
      <c r="I157" s="15"/>
      <c r="J157" s="15"/>
      <c r="K157" s="15"/>
      <c r="L157" s="6" t="s">
        <v>166</v>
      </c>
      <c r="M157" s="8" t="s">
        <v>1159</v>
      </c>
    </row>
    <row r="158" customFormat="false" ht="90" hidden="false" customHeight="true" outlineLevel="0" collapsed="false">
      <c r="A158" s="18" t="s">
        <v>148</v>
      </c>
      <c r="B158" s="18" t="s">
        <v>136</v>
      </c>
      <c r="C158" s="32" t="n">
        <f aca="false">INDEX(Index!$W$2:$W$25,MATCH(A158,Index!$C$2:$C$25,0))</f>
        <v>77.6</v>
      </c>
      <c r="D158" s="18" t="s">
        <v>1020</v>
      </c>
      <c r="E158" s="16" t="s">
        <v>196</v>
      </c>
      <c r="F158" s="25" t="s">
        <v>1251</v>
      </c>
      <c r="G158" s="25" t="s">
        <v>1252</v>
      </c>
      <c r="H158" s="25" t="s">
        <v>1253</v>
      </c>
      <c r="I158" s="25" t="s">
        <v>1254</v>
      </c>
      <c r="J158" s="25" t="s">
        <v>1255</v>
      </c>
      <c r="K158" s="25" t="s">
        <v>1256</v>
      </c>
      <c r="L158" s="16" t="s">
        <v>163</v>
      </c>
      <c r="M158" s="18" t="s">
        <v>1171</v>
      </c>
    </row>
    <row r="159" customFormat="false" ht="90" hidden="false" customHeight="true" outlineLevel="0" collapsed="false">
      <c r="A159" s="18" t="s">
        <v>148</v>
      </c>
      <c r="B159" s="18" t="s">
        <v>136</v>
      </c>
      <c r="C159" s="32" t="n">
        <f aca="false">INDEX(Index!$W$2:$W$25,MATCH(A159,Index!$C$2:$C$25,0))</f>
        <v>77.6</v>
      </c>
      <c r="D159" s="18" t="s">
        <v>1020</v>
      </c>
      <c r="E159" s="16" t="s">
        <v>201</v>
      </c>
      <c r="F159" s="25" t="s">
        <v>1257</v>
      </c>
      <c r="G159" s="25" t="s">
        <v>1258</v>
      </c>
      <c r="H159" s="25" t="s">
        <v>1259</v>
      </c>
      <c r="I159" s="25" t="s">
        <v>1260</v>
      </c>
      <c r="J159" s="25" t="s">
        <v>1261</v>
      </c>
      <c r="K159" s="25" t="s">
        <v>1262</v>
      </c>
      <c r="L159" s="16" t="s">
        <v>163</v>
      </c>
      <c r="M159" s="18" t="s">
        <v>1171</v>
      </c>
    </row>
    <row r="160" customFormat="false" ht="90" hidden="false" customHeight="true" outlineLevel="0" collapsed="false">
      <c r="A160" s="18" t="s">
        <v>148</v>
      </c>
      <c r="B160" s="18" t="s">
        <v>136</v>
      </c>
      <c r="C160" s="32" t="n">
        <f aca="false">INDEX(Index!$W$2:$W$25,MATCH(A160,Index!$C$2:$C$25,0))</f>
        <v>77.6</v>
      </c>
      <c r="D160" s="18" t="s">
        <v>1020</v>
      </c>
      <c r="E160" s="16" t="s">
        <v>207</v>
      </c>
      <c r="F160" s="25" t="s">
        <v>1263</v>
      </c>
      <c r="G160" s="25" t="s">
        <v>1264</v>
      </c>
      <c r="H160" s="25" t="s">
        <v>1265</v>
      </c>
      <c r="I160" s="25" t="s">
        <v>1266</v>
      </c>
      <c r="J160" s="25" t="s">
        <v>1267</v>
      </c>
      <c r="K160" s="25" t="s">
        <v>1268</v>
      </c>
      <c r="L160" s="16" t="s">
        <v>163</v>
      </c>
      <c r="M160" s="18" t="s">
        <v>1171</v>
      </c>
    </row>
    <row r="161" customFormat="false" ht="90" hidden="false" customHeight="true" outlineLevel="0" collapsed="false">
      <c r="A161" s="18" t="s">
        <v>148</v>
      </c>
      <c r="B161" s="18" t="s">
        <v>136</v>
      </c>
      <c r="C161" s="32" t="n">
        <f aca="false">INDEX(Index!$W$2:$W$25,MATCH(A161,Index!$C$2:$C$25,0))</f>
        <v>77.6</v>
      </c>
      <c r="D161" s="18" t="s">
        <v>1020</v>
      </c>
      <c r="E161" s="16" t="s">
        <v>213</v>
      </c>
      <c r="F161" s="25" t="s">
        <v>1269</v>
      </c>
      <c r="G161" s="25" t="s">
        <v>1270</v>
      </c>
      <c r="H161" s="25" t="s">
        <v>1271</v>
      </c>
      <c r="I161" s="25" t="s">
        <v>1272</v>
      </c>
      <c r="J161" s="25" t="s">
        <v>1273</v>
      </c>
      <c r="K161" s="25" t="s">
        <v>1274</v>
      </c>
      <c r="L161" s="16" t="s">
        <v>166</v>
      </c>
      <c r="M161" s="18" t="s">
        <v>1171</v>
      </c>
    </row>
    <row r="162" customFormat="false" ht="90" hidden="false" customHeight="true" outlineLevel="0" collapsed="false">
      <c r="A162" s="18" t="s">
        <v>148</v>
      </c>
      <c r="B162" s="18" t="s">
        <v>136</v>
      </c>
      <c r="C162" s="32" t="n">
        <f aca="false">INDEX(Index!$W$2:$W$25,MATCH(A162,Index!$C$2:$C$25,0))</f>
        <v>77.6</v>
      </c>
      <c r="D162" s="18" t="s">
        <v>1020</v>
      </c>
      <c r="E162" s="16" t="s">
        <v>219</v>
      </c>
      <c r="F162" s="25" t="s">
        <v>1275</v>
      </c>
      <c r="G162" s="25" t="s">
        <v>1276</v>
      </c>
      <c r="H162" s="25" t="s">
        <v>1277</v>
      </c>
      <c r="I162" s="25" t="s">
        <v>1278</v>
      </c>
      <c r="J162" s="25" t="s">
        <v>1279</v>
      </c>
      <c r="K162" s="25" t="s">
        <v>1280</v>
      </c>
      <c r="L162" s="16" t="s">
        <v>169</v>
      </c>
      <c r="M162" s="18" t="s">
        <v>1171</v>
      </c>
    </row>
    <row r="163" customFormat="false" ht="90" hidden="false" customHeight="true" outlineLevel="0" collapsed="false">
      <c r="A163" s="18" t="s">
        <v>148</v>
      </c>
      <c r="B163" s="18" t="s">
        <v>136</v>
      </c>
      <c r="C163" s="32" t="n">
        <f aca="false">INDEX(Index!$W$2:$W$25,MATCH(A163,Index!$C$2:$C$25,0))</f>
        <v>77.6</v>
      </c>
      <c r="D163" s="18" t="s">
        <v>1020</v>
      </c>
      <c r="E163" s="16" t="s">
        <v>225</v>
      </c>
      <c r="F163" s="25" t="s">
        <v>1281</v>
      </c>
      <c r="G163" s="25" t="s">
        <v>1282</v>
      </c>
      <c r="H163" s="25" t="s">
        <v>1283</v>
      </c>
      <c r="I163" s="25" t="s">
        <v>1284</v>
      </c>
      <c r="J163" s="25" t="s">
        <v>1285</v>
      </c>
      <c r="K163" s="25" t="s">
        <v>1286</v>
      </c>
      <c r="L163" s="16" t="s">
        <v>175</v>
      </c>
      <c r="M163" s="18" t="s">
        <v>1232</v>
      </c>
    </row>
  </sheetData>
  <autoFilter ref="A1:M163"/>
  <conditionalFormatting sqref="D2:D163">
    <cfRule type="cellIs" priority="2" operator="equal" aboveAverage="0" equalAverage="0" bottom="0" percent="0" rank="0" text="" dxfId="21">
      <formula>"Fix"</formula>
    </cfRule>
    <cfRule type="cellIs" priority="3" operator="equal" aboveAverage="0" equalAverage="0" bottom="0" percent="0" rank="0" text="" dxfId="22">
      <formula>"Finding"</formula>
    </cfRule>
  </conditionalFormatting>
  <dataValidations count="1">
    <dataValidation allowBlank="true" errorStyle="stop" operator="between" showDropDown="false" showErrorMessage="false" showInputMessage="false" sqref="M2:M464" type="list">
      <formula1>"Documented,Prototyped,Sent,Acknowledged,Shipped by them,Published"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34"/>
    <col collapsed="false" customWidth="true" hidden="false" outlineLevel="0" max="5" min="4" style="0" width="16"/>
    <col collapsed="false" customWidth="true" hidden="false" outlineLevel="0" max="6" min="6" style="0" width="30"/>
    <col collapsed="false" customWidth="true" hidden="false" outlineLevel="0" max="7" min="7" style="0" width="13"/>
    <col collapsed="false" customWidth="true" hidden="false" outlineLevel="0" max="8" min="8" style="0" width="44"/>
    <col collapsed="false" customWidth="true" hidden="false" outlineLevel="0" max="9" min="9" style="0" width="60"/>
  </cols>
  <sheetData>
    <row r="1" customFormat="false" ht="30" hidden="false" customHeight="true" outlineLevel="0" collapsed="false">
      <c r="A1" s="5" t="s">
        <v>1287</v>
      </c>
      <c r="B1" s="5" t="s">
        <v>1288</v>
      </c>
      <c r="C1" s="5" t="s">
        <v>1289</v>
      </c>
      <c r="D1" s="5" t="s">
        <v>1290</v>
      </c>
      <c r="E1" s="5" t="s">
        <v>1291</v>
      </c>
      <c r="F1" s="5" t="s">
        <v>1292</v>
      </c>
      <c r="G1" s="5" t="s">
        <v>37</v>
      </c>
      <c r="H1" s="5" t="s">
        <v>1293</v>
      </c>
      <c r="I1" s="5" t="s">
        <v>1294</v>
      </c>
    </row>
    <row r="2" customFormat="false" ht="60" hidden="false" customHeight="true" outlineLevel="0" collapsed="false">
      <c r="A2" s="6" t="n">
        <v>1</v>
      </c>
      <c r="B2" s="15" t="s">
        <v>1295</v>
      </c>
      <c r="C2" s="15" t="s">
        <v>1296</v>
      </c>
      <c r="D2" s="15" t="s">
        <v>1297</v>
      </c>
      <c r="E2" s="15" t="s">
        <v>1298</v>
      </c>
      <c r="F2" s="15" t="s">
        <v>1299</v>
      </c>
      <c r="G2" s="33" t="s">
        <v>1300</v>
      </c>
      <c r="H2" s="15" t="s">
        <v>1301</v>
      </c>
      <c r="I2" s="15" t="s">
        <v>1302</v>
      </c>
    </row>
    <row r="3" customFormat="false" ht="60" hidden="false" customHeight="true" outlineLevel="0" collapsed="false">
      <c r="A3" s="6" t="n">
        <v>2</v>
      </c>
      <c r="B3" s="15" t="s">
        <v>1303</v>
      </c>
      <c r="C3" s="15" t="s">
        <v>1304</v>
      </c>
      <c r="D3" s="15" t="s">
        <v>1305</v>
      </c>
      <c r="E3" s="15" t="s">
        <v>1306</v>
      </c>
      <c r="F3" s="15" t="s">
        <v>1307</v>
      </c>
      <c r="G3" s="33" t="s">
        <v>1300</v>
      </c>
      <c r="H3" s="15" t="s">
        <v>1308</v>
      </c>
      <c r="I3" s="15" t="s">
        <v>1309</v>
      </c>
    </row>
    <row r="4" customFormat="false" ht="60" hidden="false" customHeight="true" outlineLevel="0" collapsed="false">
      <c r="A4" s="6" t="n">
        <v>3</v>
      </c>
      <c r="B4" s="15" t="s">
        <v>1310</v>
      </c>
      <c r="C4" s="15" t="s">
        <v>1311</v>
      </c>
      <c r="D4" s="15" t="s">
        <v>1312</v>
      </c>
      <c r="E4" s="15" t="s">
        <v>1313</v>
      </c>
      <c r="F4" s="15" t="s">
        <v>1314</v>
      </c>
      <c r="G4" s="33" t="s">
        <v>1315</v>
      </c>
      <c r="H4" s="15" t="s">
        <v>1316</v>
      </c>
      <c r="I4" s="15" t="s">
        <v>1317</v>
      </c>
    </row>
    <row r="5" customFormat="false" ht="60" hidden="false" customHeight="true" outlineLevel="0" collapsed="false">
      <c r="A5" s="6" t="n">
        <v>4</v>
      </c>
      <c r="B5" s="15" t="s">
        <v>1318</v>
      </c>
      <c r="C5" s="15" t="s">
        <v>1319</v>
      </c>
      <c r="D5" s="15" t="s">
        <v>1320</v>
      </c>
      <c r="E5" s="15" t="s">
        <v>1321</v>
      </c>
      <c r="F5" s="15" t="s">
        <v>1322</v>
      </c>
      <c r="G5" s="33" t="s">
        <v>1300</v>
      </c>
      <c r="H5" s="15" t="s">
        <v>1323</v>
      </c>
      <c r="I5" s="15" t="s">
        <v>1324</v>
      </c>
    </row>
    <row r="6" customFormat="false" ht="60" hidden="false" customHeight="true" outlineLevel="0" collapsed="false">
      <c r="A6" s="6" t="n">
        <v>5</v>
      </c>
      <c r="B6" s="15" t="s">
        <v>1325</v>
      </c>
      <c r="C6" s="15" t="s">
        <v>1326</v>
      </c>
      <c r="D6" s="15" t="s">
        <v>1297</v>
      </c>
      <c r="E6" s="15" t="s">
        <v>1327</v>
      </c>
      <c r="F6" s="15" t="s">
        <v>1322</v>
      </c>
      <c r="G6" s="33" t="s">
        <v>1300</v>
      </c>
      <c r="H6" s="15" t="s">
        <v>1328</v>
      </c>
      <c r="I6" s="15" t="s">
        <v>1329</v>
      </c>
    </row>
    <row r="7" customFormat="false" ht="60" hidden="false" customHeight="true" outlineLevel="0" collapsed="false">
      <c r="A7" s="6" t="n">
        <v>6</v>
      </c>
      <c r="B7" s="15" t="s">
        <v>1330</v>
      </c>
      <c r="C7" s="15" t="s">
        <v>1331</v>
      </c>
      <c r="D7" s="15" t="s">
        <v>1332</v>
      </c>
      <c r="E7" s="15" t="s">
        <v>1333</v>
      </c>
      <c r="F7" s="15" t="s">
        <v>1334</v>
      </c>
      <c r="G7" s="33" t="s">
        <v>1335</v>
      </c>
      <c r="H7" s="15" t="s">
        <v>1336</v>
      </c>
      <c r="I7" s="15" t="s">
        <v>1337</v>
      </c>
    </row>
    <row r="8" customFormat="false" ht="60" hidden="false" customHeight="true" outlineLevel="0" collapsed="false">
      <c r="A8" s="6" t="n">
        <v>7</v>
      </c>
      <c r="B8" s="15" t="s">
        <v>1338</v>
      </c>
      <c r="C8" s="15" t="s">
        <v>1339</v>
      </c>
      <c r="D8" s="15" t="s">
        <v>1297</v>
      </c>
      <c r="E8" s="15" t="s">
        <v>1340</v>
      </c>
      <c r="F8" s="15" t="s">
        <v>1341</v>
      </c>
      <c r="G8" s="33" t="s">
        <v>1342</v>
      </c>
      <c r="H8" s="15" t="s">
        <v>1343</v>
      </c>
      <c r="I8" s="15" t="s">
        <v>1344</v>
      </c>
    </row>
    <row r="9" customFormat="false" ht="60" hidden="false" customHeight="true" outlineLevel="0" collapsed="false">
      <c r="A9" s="6" t="n">
        <v>8</v>
      </c>
      <c r="B9" s="15" t="s">
        <v>1345</v>
      </c>
      <c r="C9" s="15" t="s">
        <v>1346</v>
      </c>
      <c r="D9" s="15" t="s">
        <v>1347</v>
      </c>
      <c r="E9" s="15" t="s">
        <v>1348</v>
      </c>
      <c r="F9" s="15" t="s">
        <v>1349</v>
      </c>
      <c r="G9" s="33" t="s">
        <v>1350</v>
      </c>
      <c r="H9" s="15" t="s">
        <v>1351</v>
      </c>
      <c r="I9" s="15" t="s">
        <v>1352</v>
      </c>
    </row>
    <row r="10" customFormat="false" ht="60" hidden="false" customHeight="true" outlineLevel="0" collapsed="false">
      <c r="A10" s="6" t="n">
        <v>9</v>
      </c>
      <c r="B10" s="15" t="s">
        <v>1353</v>
      </c>
      <c r="C10" s="15" t="s">
        <v>1354</v>
      </c>
      <c r="D10" s="15" t="s">
        <v>1297</v>
      </c>
      <c r="E10" s="15" t="s">
        <v>1355</v>
      </c>
      <c r="F10" s="15" t="s">
        <v>1356</v>
      </c>
      <c r="G10" s="33" t="s">
        <v>1342</v>
      </c>
      <c r="H10" s="15" t="s">
        <v>1297</v>
      </c>
      <c r="I10" s="15" t="s">
        <v>1357</v>
      </c>
    </row>
    <row r="11" customFormat="false" ht="60" hidden="false" customHeight="true" outlineLevel="0" collapsed="false">
      <c r="A11" s="6" t="n">
        <v>10</v>
      </c>
      <c r="B11" s="15" t="s">
        <v>1358</v>
      </c>
      <c r="C11" s="15" t="s">
        <v>1359</v>
      </c>
      <c r="D11" s="15" t="s">
        <v>1297</v>
      </c>
      <c r="E11" s="15" t="s">
        <v>1360</v>
      </c>
      <c r="F11" s="15" t="s">
        <v>1361</v>
      </c>
      <c r="G11" s="33" t="s">
        <v>1342</v>
      </c>
      <c r="H11" s="15" t="s">
        <v>1297</v>
      </c>
      <c r="I11" s="15" t="s">
        <v>1362</v>
      </c>
    </row>
    <row r="12" customFormat="false" ht="60" hidden="false" customHeight="true" outlineLevel="0" collapsed="false">
      <c r="A12" s="6" t="n">
        <v>11</v>
      </c>
      <c r="B12" s="15" t="s">
        <v>1363</v>
      </c>
      <c r="C12" s="15" t="s">
        <v>1364</v>
      </c>
      <c r="D12" s="15" t="s">
        <v>1297</v>
      </c>
      <c r="E12" s="15" t="s">
        <v>1365</v>
      </c>
      <c r="F12" s="15" t="s">
        <v>1366</v>
      </c>
      <c r="G12" s="33" t="s">
        <v>1342</v>
      </c>
      <c r="H12" s="15" t="s">
        <v>1297</v>
      </c>
      <c r="I12" s="15" t="s">
        <v>1297</v>
      </c>
    </row>
    <row r="13" customFormat="false" ht="60" hidden="false" customHeight="true" outlineLevel="0" collapsed="false">
      <c r="A13" s="6" t="n">
        <v>12</v>
      </c>
      <c r="B13" s="15" t="s">
        <v>1367</v>
      </c>
      <c r="C13" s="15" t="s">
        <v>1368</v>
      </c>
      <c r="D13" s="15" t="s">
        <v>1297</v>
      </c>
      <c r="E13" s="15" t="s">
        <v>1369</v>
      </c>
      <c r="F13" s="15" t="s">
        <v>1370</v>
      </c>
      <c r="G13" s="33" t="s">
        <v>1342</v>
      </c>
      <c r="H13" s="15" t="s">
        <v>1297</v>
      </c>
      <c r="I13" s="15" t="s">
        <v>1297</v>
      </c>
    </row>
    <row r="14" customFormat="false" ht="60" hidden="false" customHeight="true" outlineLevel="0" collapsed="false">
      <c r="A14" s="6" t="n">
        <v>13</v>
      </c>
      <c r="B14" s="15" t="s">
        <v>1371</v>
      </c>
      <c r="C14" s="15" t="s">
        <v>1372</v>
      </c>
      <c r="D14" s="15" t="s">
        <v>1297</v>
      </c>
      <c r="E14" s="15" t="s">
        <v>1373</v>
      </c>
      <c r="F14" s="15" t="s">
        <v>1374</v>
      </c>
      <c r="G14" s="33" t="s">
        <v>1342</v>
      </c>
      <c r="H14" s="15" t="s">
        <v>1297</v>
      </c>
      <c r="I14" s="15" t="s">
        <v>1297</v>
      </c>
    </row>
    <row r="15" customFormat="false" ht="60" hidden="false" customHeight="true" outlineLevel="0" collapsed="false">
      <c r="A15" s="6" t="n">
        <v>14</v>
      </c>
      <c r="B15" s="15" t="s">
        <v>1375</v>
      </c>
      <c r="C15" s="15" t="s">
        <v>1376</v>
      </c>
      <c r="D15" s="15" t="s">
        <v>1297</v>
      </c>
      <c r="E15" s="15" t="s">
        <v>1377</v>
      </c>
      <c r="F15" s="15" t="s">
        <v>1378</v>
      </c>
      <c r="G15" s="33" t="s">
        <v>1379</v>
      </c>
      <c r="H15" s="15" t="s">
        <v>1380</v>
      </c>
      <c r="I15" s="15" t="s">
        <v>1381</v>
      </c>
    </row>
    <row r="17" customFormat="false" ht="30" hidden="false" customHeight="true" outlineLevel="0" collapsed="false">
      <c r="B17" s="27" t="s">
        <v>1382</v>
      </c>
      <c r="C17" s="27"/>
      <c r="D17" s="27"/>
      <c r="E17" s="27"/>
      <c r="F17" s="27"/>
      <c r="G17" s="27"/>
      <c r="H17" s="27"/>
      <c r="I17" s="27"/>
    </row>
  </sheetData>
  <mergeCells count="1">
    <mergeCell ref="B17:I17"/>
  </mergeCells>
  <dataValidations count="1">
    <dataValidation allowBlank="true" errorStyle="stop" operator="between" showDropDown="false" showErrorMessage="false" showInputMessage="false" sqref="G2:G54" type="list">
      <formula1>"Measured,Stated,Approximate,Measured (counts) / Stated (response),Measured (the checks exist),Approximate — site and date not recorded here"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9"/>
    <col collapsed="false" customWidth="true" hidden="false" outlineLevel="0" max="4" min="4" style="0" width="48"/>
    <col collapsed="false" customWidth="true" hidden="false" outlineLevel="0" max="5" min="5" style="0" width="22"/>
    <col collapsed="false" customWidth="true" hidden="false" outlineLevel="0" max="6" min="6" style="0" width="36"/>
    <col collapsed="false" customWidth="true" hidden="false" outlineLevel="0" max="7" min="7" style="0" width="24"/>
    <col collapsed="false" customWidth="true" hidden="false" outlineLevel="0" max="8" min="8" style="0" width="14"/>
    <col collapsed="false" customWidth="true" hidden="false" outlineLevel="0" max="11" min="9" style="0" width="12"/>
    <col collapsed="false" customWidth="true" hidden="false" outlineLevel="0" max="12" min="12" style="0" width="40"/>
  </cols>
  <sheetData>
    <row r="1" customFormat="false" ht="30" hidden="false" customHeight="true" outlineLevel="0" collapsed="false">
      <c r="A1" s="5" t="s">
        <v>1383</v>
      </c>
      <c r="B1" s="5" t="s">
        <v>1384</v>
      </c>
      <c r="C1" s="5" t="s">
        <v>38</v>
      </c>
      <c r="D1" s="5" t="s">
        <v>1385</v>
      </c>
      <c r="E1" s="5" t="s">
        <v>304</v>
      </c>
      <c r="F1" s="5" t="s">
        <v>1386</v>
      </c>
      <c r="G1" s="5" t="s">
        <v>1387</v>
      </c>
      <c r="H1" s="5" t="s">
        <v>1026</v>
      </c>
      <c r="I1" s="5" t="s">
        <v>1388</v>
      </c>
      <c r="J1" s="5" t="s">
        <v>1389</v>
      </c>
      <c r="K1" s="5" t="s">
        <v>1390</v>
      </c>
      <c r="L1" s="5" t="s">
        <v>43</v>
      </c>
    </row>
    <row r="2" customFormat="false" ht="31.5" hidden="false" customHeight="true" outlineLevel="0" collapsed="false">
      <c r="A2" s="7" t="s">
        <v>135</v>
      </c>
      <c r="B2" s="8" t="s">
        <v>1391</v>
      </c>
      <c r="C2" s="31" t="n">
        <f aca="false">INDEX(Index!$W$2:$W$25,MATCH(A2,Index!$C$2:$C$25,0))</f>
        <v>95.2</v>
      </c>
      <c r="D2" s="15" t="s">
        <v>1165</v>
      </c>
      <c r="E2" s="28" t="s">
        <v>1392</v>
      </c>
      <c r="F2" s="34" t="s">
        <v>1393</v>
      </c>
      <c r="G2" s="28" t="s">
        <v>1394</v>
      </c>
      <c r="H2" s="28" t="s">
        <v>1395</v>
      </c>
      <c r="I2" s="28"/>
      <c r="J2" s="28"/>
      <c r="K2" s="28"/>
      <c r="L2" s="34"/>
    </row>
    <row r="3" customFormat="false" ht="31.5" hidden="false" customHeight="true" outlineLevel="0" collapsed="false">
      <c r="A3" s="7" t="s">
        <v>135</v>
      </c>
      <c r="B3" s="8" t="s">
        <v>1391</v>
      </c>
      <c r="C3" s="31" t="n">
        <f aca="false">INDEX(Index!$W$2:$W$25,MATCH(A3,Index!$C$2:$C$25,0))</f>
        <v>95.2</v>
      </c>
      <c r="D3" s="15" t="s">
        <v>1165</v>
      </c>
      <c r="E3" s="28" t="s">
        <v>1396</v>
      </c>
      <c r="F3" s="34" t="s">
        <v>1397</v>
      </c>
      <c r="G3" s="28" t="s">
        <v>1398</v>
      </c>
      <c r="H3" s="28" t="s">
        <v>1395</v>
      </c>
      <c r="I3" s="28"/>
      <c r="J3" s="28"/>
      <c r="K3" s="28"/>
      <c r="L3" s="34"/>
    </row>
    <row r="4" customFormat="false" ht="31.5" hidden="false" customHeight="true" outlineLevel="0" collapsed="false">
      <c r="A4" s="7" t="s">
        <v>142</v>
      </c>
      <c r="B4" s="8" t="s">
        <v>1399</v>
      </c>
      <c r="C4" s="31" t="n">
        <f aca="false">INDEX(Index!$W$2:$W$25,MATCH(A4,Index!$C$2:$C$25,0))</f>
        <v>61</v>
      </c>
      <c r="D4" s="15" t="s">
        <v>1208</v>
      </c>
      <c r="E4" s="28" t="s">
        <v>1400</v>
      </c>
      <c r="F4" s="34" t="s">
        <v>1401</v>
      </c>
      <c r="G4" s="28" t="s">
        <v>1402</v>
      </c>
      <c r="H4" s="28" t="s">
        <v>1395</v>
      </c>
      <c r="I4" s="28"/>
      <c r="J4" s="28"/>
      <c r="K4" s="28"/>
      <c r="L4" s="34"/>
    </row>
    <row r="5" customFormat="false" ht="31.5" hidden="false" customHeight="true" outlineLevel="0" collapsed="false">
      <c r="A5" s="7" t="s">
        <v>142</v>
      </c>
      <c r="B5" s="8" t="s">
        <v>1399</v>
      </c>
      <c r="C5" s="31" t="n">
        <f aca="false">INDEX(Index!$W$2:$W$25,MATCH(A5,Index!$C$2:$C$25,0))</f>
        <v>61</v>
      </c>
      <c r="D5" s="15" t="s">
        <v>1208</v>
      </c>
      <c r="E5" s="28" t="s">
        <v>1403</v>
      </c>
      <c r="F5" s="34" t="s">
        <v>1404</v>
      </c>
      <c r="G5" s="28" t="s">
        <v>1398</v>
      </c>
      <c r="H5" s="28" t="s">
        <v>1395</v>
      </c>
      <c r="I5" s="28"/>
      <c r="J5" s="28"/>
      <c r="K5" s="28"/>
      <c r="L5" s="34"/>
    </row>
    <row r="6" customFormat="false" ht="31.5" hidden="false" customHeight="true" outlineLevel="0" collapsed="false">
      <c r="A6" s="7" t="s">
        <v>148</v>
      </c>
      <c r="B6" s="8" t="s">
        <v>1405</v>
      </c>
      <c r="C6" s="31" t="n">
        <f aca="false">INDEX(Index!$W$2:$W$25,MATCH(A6,Index!$C$2:$C$25,0))</f>
        <v>77.6</v>
      </c>
      <c r="D6" s="15" t="s">
        <v>1251</v>
      </c>
      <c r="E6" s="28" t="s">
        <v>1406</v>
      </c>
      <c r="F6" s="34" t="s">
        <v>1407</v>
      </c>
      <c r="G6" s="28" t="s">
        <v>1394</v>
      </c>
      <c r="H6" s="28" t="s">
        <v>1395</v>
      </c>
      <c r="I6" s="28"/>
      <c r="J6" s="28"/>
      <c r="K6" s="28"/>
      <c r="L6" s="34"/>
    </row>
    <row r="7" customFormat="false" ht="31.5" hidden="false" customHeight="true" outlineLevel="0" collapsed="false">
      <c r="A7" s="7" t="s">
        <v>148</v>
      </c>
      <c r="B7" s="8" t="s">
        <v>1405</v>
      </c>
      <c r="C7" s="31" t="n">
        <f aca="false">INDEX(Index!$W$2:$W$25,MATCH(A7,Index!$C$2:$C$25,0))</f>
        <v>77.6</v>
      </c>
      <c r="D7" s="15" t="s">
        <v>1251</v>
      </c>
      <c r="E7" s="28" t="s">
        <v>1408</v>
      </c>
      <c r="F7" s="34" t="s">
        <v>1409</v>
      </c>
      <c r="G7" s="28" t="s">
        <v>1398</v>
      </c>
      <c r="H7" s="28" t="s">
        <v>1395</v>
      </c>
      <c r="I7" s="28"/>
      <c r="J7" s="28"/>
      <c r="K7" s="28"/>
      <c r="L7" s="34"/>
    </row>
    <row r="9" customFormat="false" ht="15" hidden="false" customHeight="false" outlineLevel="0" collapsed="false">
      <c r="A9" s="2" t="s">
        <v>1410</v>
      </c>
    </row>
  </sheetData>
  <autoFilter ref="A1:L7"/>
  <dataValidations count="2">
    <dataValidation allowBlank="true" errorStyle="stop" operator="between" showDropDown="false" showErrorMessage="false" showInputMessage="false" sqref="H2:H208" type="list">
      <formula1>"Not started,Drafted,Sent,Replied,Call booked,Closed"</formula1>
      <formula2>0</formula2>
    </dataValidation>
    <dataValidation allowBlank="true" errorStyle="stop" operator="between" showDropDown="false" showErrorMessage="false" showInputMessage="false" sqref="G2:G208" type="list">
      <formula1>"LinkedIn InMail,LinkedIn connection note,Email,Email + LinkedIn connection note,Phone,Indeed,Referral"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2.05" hidden="false" customHeight="false" outlineLevel="0" collapsed="false">
      <c r="B2" s="1" t="s">
        <v>1411</v>
      </c>
    </row>
    <row r="4" customFormat="false" ht="15" hidden="false" customHeight="false" outlineLevel="0" collapsed="false">
      <c r="B4" s="26" t="s">
        <v>1412</v>
      </c>
    </row>
    <row r="5" customFormat="false" ht="15" hidden="false" customHeight="true" outlineLevel="0" collapsed="false">
      <c r="B5" s="4" t="s">
        <v>1413</v>
      </c>
    </row>
    <row r="6" customFormat="false" ht="30" hidden="false" customHeight="true" outlineLevel="0" collapsed="false">
      <c r="B6" s="4" t="s">
        <v>1414</v>
      </c>
    </row>
    <row r="7" customFormat="false" ht="30" hidden="false" customHeight="true" outlineLevel="0" collapsed="false">
      <c r="B7" s="4" t="s">
        <v>1415</v>
      </c>
    </row>
    <row r="8" customFormat="false" ht="30" hidden="false" customHeight="true" outlineLevel="0" collapsed="false">
      <c r="B8" s="4" t="s">
        <v>1416</v>
      </c>
    </row>
    <row r="10" customFormat="false" ht="15" hidden="false" customHeight="false" outlineLevel="0" collapsed="false">
      <c r="B10" s="26" t="s">
        <v>1417</v>
      </c>
    </row>
    <row r="11" customFormat="false" ht="30" hidden="false" customHeight="true" outlineLevel="0" collapsed="false">
      <c r="B11" s="4" t="s">
        <v>1418</v>
      </c>
    </row>
    <row r="13" customFormat="false" ht="15" hidden="false" customHeight="false" outlineLevel="0" collapsed="false">
      <c r="B13" s="26" t="s">
        <v>1419</v>
      </c>
    </row>
    <row r="14" customFormat="false" ht="15" hidden="false" customHeight="true" outlineLevel="0" collapsed="false">
      <c r="B14" s="4" t="s">
        <v>1420</v>
      </c>
    </row>
    <row r="15" customFormat="false" ht="15" hidden="false" customHeight="true" outlineLevel="0" collapsed="false">
      <c r="B15" s="4" t="s">
        <v>1421</v>
      </c>
    </row>
    <row r="16" customFormat="false" ht="60" hidden="false" customHeight="true" outlineLevel="0" collapsed="false">
      <c r="B16" s="4" t="s">
        <v>1422</v>
      </c>
    </row>
    <row r="17" customFormat="false" ht="15" hidden="false" customHeight="true" outlineLevel="0" collapsed="false">
      <c r="B17" s="4" t="s">
        <v>1423</v>
      </c>
    </row>
    <row r="18" customFormat="false" ht="15" hidden="false" customHeight="true" outlineLevel="0" collapsed="false">
      <c r="B18" s="4" t="s">
        <v>1424</v>
      </c>
    </row>
    <row r="20" customFormat="false" ht="15" hidden="false" customHeight="false" outlineLevel="0" collapsed="false">
      <c r="B20" s="26" t="s">
        <v>10</v>
      </c>
    </row>
    <row r="21" customFormat="false" ht="45" hidden="false" customHeight="true" outlineLevel="0" collapsed="false">
      <c r="B21" s="4" t="s">
        <v>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2026-09-28T12:50:50Z</dcterms:created>
  <dc:creator>openpyxl</dc:creator>
  <dc:description/>
  <dc:language>en-US</dc:language>
  <cp:lastModifiedBy/>
  <dcterms:modified xsi:type="dcterms:W3CDTF">2026-09-28T12:50:51Z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